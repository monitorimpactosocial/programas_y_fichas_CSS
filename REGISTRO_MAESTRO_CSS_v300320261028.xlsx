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paracel-my.sharepoint.com/personal/diego_meza_paracel_com_py/Documents/MONITOREO_IMPACTO_SOCIAL_PARACEL/PROGRAMAS_Y_FICHAS_CSS/"/>
    </mc:Choice>
  </mc:AlternateContent>
  <xr:revisionPtr revIDLastSave="19" documentId="11_8A171F1292559942891E6D7BFB4DB0BC87A4DD70" xr6:coauthVersionLast="47" xr6:coauthVersionMax="47" xr10:uidLastSave="{E388994D-2321-495F-B7E2-8E8923959D9A}"/>
  <bookViews>
    <workbookView xWindow="-28910" yWindow="-2200" windowWidth="29020" windowHeight="15700" xr2:uid="{00000000-000D-0000-FFFF-FFFF00000000}"/>
  </bookViews>
  <sheets>
    <sheet name="00_PORTADA" sheetId="1" r:id="rId1"/>
    <sheet name="01_RESUMEN" sheetId="2" r:id="rId2"/>
    <sheet name="02_MATRIZ_EJECUTIVA" sheetId="3" r:id="rId3"/>
    <sheet name="03_INDICADORES_NORMALIZADOS" sheetId="4" r:id="rId4"/>
    <sheet name="04_CRONOGRAMA_TARGETS" sheetId="5" r:id="rId5"/>
    <sheet name="06_DICCIONARIO" sheetId="7" r:id="rId6"/>
    <sheet name="Programas Vigentes" sheetId="8" r:id="rId7"/>
    <sheet name="Historial Versiones" sheetId="9" r:id="rId8"/>
    <sheet name="Fichas Técnicas" sheetId="10" r:id="rId9"/>
    <sheet name="Targets por Ficha" sheetId="11" r:id="rId10"/>
    <sheet name="Indicadores" sheetId="12" r:id="rId11"/>
    <sheet name="MATRIZ CONSOLIDADA" sheetId="13"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5" i="5" l="1"/>
  <c r="Q35" i="5"/>
  <c r="P35" i="5"/>
  <c r="O35" i="5"/>
  <c r="N35" i="5"/>
  <c r="M35" i="5"/>
  <c r="L35" i="5"/>
  <c r="K35" i="5"/>
  <c r="J35" i="5"/>
  <c r="I35" i="5"/>
  <c r="H35" i="5"/>
  <c r="G35" i="5"/>
  <c r="S35" i="5" s="1"/>
  <c r="R34" i="5"/>
  <c r="Q34" i="5"/>
  <c r="P34" i="5"/>
  <c r="O34" i="5"/>
  <c r="N34" i="5"/>
  <c r="M34" i="5"/>
  <c r="L34" i="5"/>
  <c r="K34" i="5"/>
  <c r="J34" i="5"/>
  <c r="I34" i="5"/>
  <c r="H34" i="5"/>
  <c r="G34" i="5"/>
  <c r="S34" i="5" s="1"/>
  <c r="R33" i="5"/>
  <c r="Q33" i="5"/>
  <c r="P33" i="5"/>
  <c r="O33" i="5"/>
  <c r="N33" i="5"/>
  <c r="M33" i="5"/>
  <c r="L33" i="5"/>
  <c r="K33" i="5"/>
  <c r="J33" i="5"/>
  <c r="I33" i="5"/>
  <c r="H33" i="5"/>
  <c r="G33" i="5"/>
  <c r="S33" i="5" s="1"/>
  <c r="R32" i="5"/>
  <c r="Q32" i="5"/>
  <c r="P32" i="5"/>
  <c r="O32" i="5"/>
  <c r="N32" i="5"/>
  <c r="M32" i="5"/>
  <c r="L32" i="5"/>
  <c r="K32" i="5"/>
  <c r="J32" i="5"/>
  <c r="I32" i="5"/>
  <c r="H32" i="5"/>
  <c r="G32" i="5"/>
  <c r="S32" i="5" s="1"/>
  <c r="R31" i="5"/>
  <c r="Q31" i="5"/>
  <c r="P31" i="5"/>
  <c r="O31" i="5"/>
  <c r="N31" i="5"/>
  <c r="M31" i="5"/>
  <c r="L31" i="5"/>
  <c r="K31" i="5"/>
  <c r="J31" i="5"/>
  <c r="I31" i="5"/>
  <c r="H31" i="5"/>
  <c r="G31" i="5"/>
  <c r="S31" i="5" s="1"/>
  <c r="R30" i="5"/>
  <c r="Q30" i="5"/>
  <c r="P30" i="5"/>
  <c r="O30" i="5"/>
  <c r="S30" i="5" s="1"/>
  <c r="N30" i="5"/>
  <c r="M30" i="5"/>
  <c r="L30" i="5"/>
  <c r="K30" i="5"/>
  <c r="J30" i="5"/>
  <c r="I30" i="5"/>
  <c r="H30" i="5"/>
  <c r="G30" i="5"/>
  <c r="S29" i="5"/>
  <c r="R29" i="5"/>
  <c r="Q29" i="5"/>
  <c r="P29" i="5"/>
  <c r="O29" i="5"/>
  <c r="N29" i="5"/>
  <c r="M29" i="5"/>
  <c r="L29" i="5"/>
  <c r="K29" i="5"/>
  <c r="J29" i="5"/>
  <c r="I29" i="5"/>
  <c r="H29" i="5"/>
  <c r="G29" i="5"/>
  <c r="R28" i="5"/>
  <c r="Q28" i="5"/>
  <c r="P28" i="5"/>
  <c r="O28" i="5"/>
  <c r="N28" i="5"/>
  <c r="M28" i="5"/>
  <c r="L28" i="5"/>
  <c r="S28" i="5" s="1"/>
  <c r="K28" i="5"/>
  <c r="J28" i="5"/>
  <c r="I28" i="5"/>
  <c r="H28" i="5"/>
  <c r="G28" i="5"/>
  <c r="R27" i="5"/>
  <c r="Q27" i="5"/>
  <c r="P27" i="5"/>
  <c r="O27" i="5"/>
  <c r="N27" i="5"/>
  <c r="M27" i="5"/>
  <c r="L27" i="5"/>
  <c r="K27" i="5"/>
  <c r="J27" i="5"/>
  <c r="I27" i="5"/>
  <c r="H27" i="5"/>
  <c r="G27" i="5"/>
  <c r="S27" i="5" s="1"/>
  <c r="R26" i="5"/>
  <c r="Q26" i="5"/>
  <c r="P26" i="5"/>
  <c r="O26" i="5"/>
  <c r="N26" i="5"/>
  <c r="M26" i="5"/>
  <c r="L26" i="5"/>
  <c r="K26" i="5"/>
  <c r="J26" i="5"/>
  <c r="I26" i="5"/>
  <c r="H26" i="5"/>
  <c r="G26" i="5"/>
  <c r="S26" i="5" s="1"/>
  <c r="R25" i="5"/>
  <c r="Q25" i="5"/>
  <c r="P25" i="5"/>
  <c r="O25" i="5"/>
  <c r="N25" i="5"/>
  <c r="M25" i="5"/>
  <c r="L25" i="5"/>
  <c r="K25" i="5"/>
  <c r="J25" i="5"/>
  <c r="I25" i="5"/>
  <c r="H25" i="5"/>
  <c r="G25" i="5"/>
  <c r="S25" i="5" s="1"/>
  <c r="R24" i="5"/>
  <c r="Q24" i="5"/>
  <c r="P24" i="5"/>
  <c r="O24" i="5"/>
  <c r="N24" i="5"/>
  <c r="M24" i="5"/>
  <c r="L24" i="5"/>
  <c r="K24" i="5"/>
  <c r="J24" i="5"/>
  <c r="I24" i="5"/>
  <c r="H24" i="5"/>
  <c r="G24" i="5"/>
  <c r="S24" i="5" s="1"/>
  <c r="R23" i="5"/>
  <c r="Q23" i="5"/>
  <c r="P23" i="5"/>
  <c r="O23" i="5"/>
  <c r="N23" i="5"/>
  <c r="M23" i="5"/>
  <c r="L23" i="5"/>
  <c r="K23" i="5"/>
  <c r="J23" i="5"/>
  <c r="I23" i="5"/>
  <c r="H23" i="5"/>
  <c r="G23" i="5"/>
  <c r="S23" i="5" s="1"/>
  <c r="R22" i="5"/>
  <c r="Q22" i="5"/>
  <c r="P22" i="5"/>
  <c r="O22" i="5"/>
  <c r="N22" i="5"/>
  <c r="M22" i="5"/>
  <c r="L22" i="5"/>
  <c r="K22" i="5"/>
  <c r="J22" i="5"/>
  <c r="I22" i="5"/>
  <c r="H22" i="5"/>
  <c r="G22" i="5"/>
  <c r="S22" i="5" s="1"/>
  <c r="R21" i="5"/>
  <c r="Q21" i="5"/>
  <c r="P21" i="5"/>
  <c r="O21" i="5"/>
  <c r="N21" i="5"/>
  <c r="M21" i="5"/>
  <c r="L21" i="5"/>
  <c r="K21" i="5"/>
  <c r="J21" i="5"/>
  <c r="I21" i="5"/>
  <c r="H21" i="5"/>
  <c r="G21" i="5"/>
  <c r="S21" i="5" s="1"/>
  <c r="R20" i="5"/>
  <c r="Q20" i="5"/>
  <c r="P20" i="5"/>
  <c r="O20" i="5"/>
  <c r="N20" i="5"/>
  <c r="M20" i="5"/>
  <c r="L20" i="5"/>
  <c r="K20" i="5"/>
  <c r="J20" i="5"/>
  <c r="I20" i="5"/>
  <c r="S20" i="5" s="1"/>
  <c r="H20" i="5"/>
  <c r="G20" i="5"/>
  <c r="R19" i="5"/>
  <c r="Q19" i="5"/>
  <c r="P19" i="5"/>
  <c r="O19" i="5"/>
  <c r="N19" i="5"/>
  <c r="M19" i="5"/>
  <c r="L19" i="5"/>
  <c r="K19" i="5"/>
  <c r="J19" i="5"/>
  <c r="I19" i="5"/>
  <c r="H19" i="5"/>
  <c r="G19" i="5"/>
  <c r="S19" i="5" s="1"/>
  <c r="R18" i="5"/>
  <c r="Q18" i="5"/>
  <c r="P18" i="5"/>
  <c r="O18" i="5"/>
  <c r="N18" i="5"/>
  <c r="M18" i="5"/>
  <c r="L18" i="5"/>
  <c r="K18" i="5"/>
  <c r="J18" i="5"/>
  <c r="I18" i="5"/>
  <c r="H18" i="5"/>
  <c r="G18" i="5"/>
  <c r="S18" i="5" s="1"/>
  <c r="R17" i="5"/>
  <c r="Q17" i="5"/>
  <c r="P17" i="5"/>
  <c r="O17" i="5"/>
  <c r="N17" i="5"/>
  <c r="M17" i="5"/>
  <c r="L17" i="5"/>
  <c r="K17" i="5"/>
  <c r="J17" i="5"/>
  <c r="I17" i="5"/>
  <c r="H17" i="5"/>
  <c r="G17" i="5"/>
  <c r="S17" i="5" s="1"/>
  <c r="S16" i="5"/>
  <c r="R16" i="5"/>
  <c r="Q16" i="5"/>
  <c r="P16" i="5"/>
  <c r="O16" i="5"/>
  <c r="N16" i="5"/>
  <c r="M16" i="5"/>
  <c r="L16" i="5"/>
  <c r="K16" i="5"/>
  <c r="J16" i="5"/>
  <c r="I16" i="5"/>
  <c r="H16" i="5"/>
  <c r="G16" i="5"/>
  <c r="S15" i="5"/>
  <c r="R15" i="5"/>
  <c r="Q15" i="5"/>
  <c r="P15" i="5"/>
  <c r="O15" i="5"/>
  <c r="N15" i="5"/>
  <c r="M15" i="5"/>
  <c r="L15" i="5"/>
  <c r="K15" i="5"/>
  <c r="J15" i="5"/>
  <c r="I15" i="5"/>
  <c r="H15" i="5"/>
  <c r="G15" i="5"/>
  <c r="R14" i="5"/>
  <c r="Q14" i="5"/>
  <c r="P14" i="5"/>
  <c r="O14" i="5"/>
  <c r="N14" i="5"/>
  <c r="M14" i="5"/>
  <c r="L14" i="5"/>
  <c r="K14" i="5"/>
  <c r="J14" i="5"/>
  <c r="I14" i="5"/>
  <c r="H14" i="5"/>
  <c r="G14" i="5"/>
  <c r="S14" i="5" s="1"/>
  <c r="R13" i="5"/>
  <c r="Q13" i="5"/>
  <c r="P13" i="5"/>
  <c r="O13" i="5"/>
  <c r="N13" i="5"/>
  <c r="M13" i="5"/>
  <c r="L13" i="5"/>
  <c r="K13" i="5"/>
  <c r="J13" i="5"/>
  <c r="I13" i="5"/>
  <c r="H13" i="5"/>
  <c r="S13" i="5" s="1"/>
  <c r="G13" i="5"/>
  <c r="R12" i="5"/>
  <c r="Q12" i="5"/>
  <c r="P12" i="5"/>
  <c r="O12" i="5"/>
  <c r="N12" i="5"/>
  <c r="M12" i="5"/>
  <c r="L12" i="5"/>
  <c r="K12" i="5"/>
  <c r="J12" i="5"/>
  <c r="I12" i="5"/>
  <c r="H12" i="5"/>
  <c r="G12" i="5"/>
  <c r="S12" i="5" s="1"/>
  <c r="R11" i="5"/>
  <c r="Q11" i="5"/>
  <c r="P11" i="5"/>
  <c r="O11" i="5"/>
  <c r="N11" i="5"/>
  <c r="M11" i="5"/>
  <c r="L11" i="5"/>
  <c r="K11" i="5"/>
  <c r="J11" i="5"/>
  <c r="I11" i="5"/>
  <c r="H11" i="5"/>
  <c r="G11" i="5"/>
  <c r="S11" i="5" s="1"/>
  <c r="R10" i="5"/>
  <c r="Q10" i="5"/>
  <c r="P10" i="5"/>
  <c r="O10" i="5"/>
  <c r="N10" i="5"/>
  <c r="M10" i="5"/>
  <c r="L10" i="5"/>
  <c r="K10" i="5"/>
  <c r="J10" i="5"/>
  <c r="I10" i="5"/>
  <c r="H10" i="5"/>
  <c r="S10" i="5" s="1"/>
  <c r="G10" i="5"/>
  <c r="R9" i="5"/>
  <c r="Q9" i="5"/>
  <c r="P9" i="5"/>
  <c r="O9" i="5"/>
  <c r="N9" i="5"/>
  <c r="M9" i="5"/>
  <c r="L9" i="5"/>
  <c r="K9" i="5"/>
  <c r="J9" i="5"/>
  <c r="I9" i="5"/>
  <c r="H9" i="5"/>
  <c r="G9" i="5"/>
  <c r="S9" i="5" s="1"/>
  <c r="R8" i="5"/>
  <c r="Q8" i="5"/>
  <c r="P8" i="5"/>
  <c r="O8" i="5"/>
  <c r="N8" i="5"/>
  <c r="M8" i="5"/>
  <c r="L8" i="5"/>
  <c r="K8" i="5"/>
  <c r="J8" i="5"/>
  <c r="I8" i="5"/>
  <c r="H8" i="5"/>
  <c r="G8" i="5"/>
  <c r="S8" i="5" s="1"/>
  <c r="R7" i="5"/>
  <c r="Q7" i="5"/>
  <c r="P7" i="5"/>
  <c r="O7" i="5"/>
  <c r="N7" i="5"/>
  <c r="M7" i="5"/>
  <c r="L7" i="5"/>
  <c r="K7" i="5"/>
  <c r="J7" i="5"/>
  <c r="I7" i="5"/>
  <c r="H7" i="5"/>
  <c r="G7" i="5"/>
  <c r="S7" i="5" s="1"/>
  <c r="R6" i="5"/>
  <c r="Q6" i="5"/>
  <c r="P6" i="5"/>
  <c r="O6" i="5"/>
  <c r="N6" i="5"/>
  <c r="M6" i="5"/>
  <c r="L6" i="5"/>
  <c r="K6" i="5"/>
  <c r="J6" i="5"/>
  <c r="I6" i="5"/>
  <c r="H6" i="5"/>
  <c r="G6" i="5"/>
  <c r="S6" i="5" s="1"/>
  <c r="R5" i="5"/>
  <c r="Q5" i="5"/>
  <c r="P5" i="5"/>
  <c r="O5" i="5"/>
  <c r="N5" i="5"/>
  <c r="M5" i="5"/>
  <c r="L5" i="5"/>
  <c r="K5" i="5"/>
  <c r="J5" i="5"/>
  <c r="I5" i="5"/>
  <c r="H5" i="5"/>
  <c r="G5" i="5"/>
  <c r="S5" i="5" s="1"/>
  <c r="AF35" i="3"/>
  <c r="AG35" i="3" s="1"/>
  <c r="AE35" i="3"/>
  <c r="AD35" i="3"/>
  <c r="AB35" i="3"/>
  <c r="AA35" i="3"/>
  <c r="AF34" i="3"/>
  <c r="AG34" i="3" s="1"/>
  <c r="AE34" i="3"/>
  <c r="AD34" i="3"/>
  <c r="AB34" i="3"/>
  <c r="AA34" i="3"/>
  <c r="AG33" i="3"/>
  <c r="AF33" i="3"/>
  <c r="AE33" i="3"/>
  <c r="AD33" i="3"/>
  <c r="AB33" i="3"/>
  <c r="AA33" i="3"/>
  <c r="AF32" i="3"/>
  <c r="AG32" i="3" s="1"/>
  <c r="AE32" i="3"/>
  <c r="AD32" i="3"/>
  <c r="AB32" i="3"/>
  <c r="AA32" i="3"/>
  <c r="AF31" i="3"/>
  <c r="AG31" i="3" s="1"/>
  <c r="AE31" i="3"/>
  <c r="AD31" i="3"/>
  <c r="AB31" i="3"/>
  <c r="AA31" i="3"/>
  <c r="AF30" i="3"/>
  <c r="AG30" i="3" s="1"/>
  <c r="I24" i="2" s="1"/>
  <c r="AE30" i="3"/>
  <c r="AD30" i="3"/>
  <c r="AB30" i="3"/>
  <c r="AA30" i="3"/>
  <c r="AF29" i="3"/>
  <c r="AG29" i="3" s="1"/>
  <c r="AE29" i="3"/>
  <c r="AD29" i="3"/>
  <c r="AB29" i="3"/>
  <c r="AA29" i="3"/>
  <c r="AF28" i="3"/>
  <c r="AG28" i="3" s="1"/>
  <c r="AE28" i="3"/>
  <c r="AD28" i="3"/>
  <c r="AB28" i="3"/>
  <c r="AA28" i="3"/>
  <c r="AF27" i="3"/>
  <c r="AG27" i="3" s="1"/>
  <c r="I21" i="2" s="1"/>
  <c r="AE27" i="3"/>
  <c r="AD27" i="3"/>
  <c r="AB27" i="3"/>
  <c r="AA27" i="3"/>
  <c r="AG26" i="3"/>
  <c r="AF26" i="3"/>
  <c r="AE26" i="3"/>
  <c r="AD26" i="3"/>
  <c r="AB26" i="3"/>
  <c r="AA26" i="3"/>
  <c r="AF25" i="3"/>
  <c r="AG25" i="3" s="1"/>
  <c r="I23" i="2" s="1"/>
  <c r="AE25" i="3"/>
  <c r="AD25" i="3"/>
  <c r="AB25" i="3"/>
  <c r="AA25" i="3"/>
  <c r="AF24" i="3"/>
  <c r="AG24" i="3" s="1"/>
  <c r="AE24" i="3"/>
  <c r="AD24" i="3"/>
  <c r="AB24" i="3"/>
  <c r="AA24" i="3"/>
  <c r="AF23" i="3"/>
  <c r="AG23" i="3" s="1"/>
  <c r="I20" i="2" s="1"/>
  <c r="AE23" i="3"/>
  <c r="AD23" i="3"/>
  <c r="AB23" i="3"/>
  <c r="AA23" i="3"/>
  <c r="AF22" i="3"/>
  <c r="AG22" i="3" s="1"/>
  <c r="AE22" i="3"/>
  <c r="AD22" i="3"/>
  <c r="AB22" i="3"/>
  <c r="AA22" i="3"/>
  <c r="AF21" i="3"/>
  <c r="AG21" i="3" s="1"/>
  <c r="AE21" i="3"/>
  <c r="AD21" i="3"/>
  <c r="AB21" i="3"/>
  <c r="AA21" i="3"/>
  <c r="AF20" i="3"/>
  <c r="AG20" i="3" s="1"/>
  <c r="I13" i="2" s="1"/>
  <c r="AE20" i="3"/>
  <c r="AD20" i="3"/>
  <c r="AB20" i="3"/>
  <c r="AA20" i="3"/>
  <c r="AG19" i="3"/>
  <c r="AF19" i="3"/>
  <c r="AE19" i="3"/>
  <c r="AD19" i="3"/>
  <c r="AB19" i="3"/>
  <c r="AA19" i="3"/>
  <c r="AF18" i="3"/>
  <c r="AG18" i="3" s="1"/>
  <c r="AE18" i="3"/>
  <c r="AD18" i="3"/>
  <c r="AB18" i="3"/>
  <c r="AA18" i="3"/>
  <c r="AF17" i="3"/>
  <c r="AG17" i="3" s="1"/>
  <c r="I19" i="2" s="1"/>
  <c r="AE17" i="3"/>
  <c r="H19" i="2" s="1"/>
  <c r="AD17" i="3"/>
  <c r="AB17" i="3"/>
  <c r="AA17" i="3"/>
  <c r="AF16" i="3"/>
  <c r="AG16" i="3" s="1"/>
  <c r="AE16" i="3"/>
  <c r="AD16" i="3"/>
  <c r="AB16" i="3"/>
  <c r="AA16" i="3"/>
  <c r="AF15" i="3"/>
  <c r="AG15" i="3" s="1"/>
  <c r="I17" i="2" s="1"/>
  <c r="AE15" i="3"/>
  <c r="AD15" i="3"/>
  <c r="AB15" i="3"/>
  <c r="AA15" i="3"/>
  <c r="AF14" i="3"/>
  <c r="AG14" i="3" s="1"/>
  <c r="AE14" i="3"/>
  <c r="AD14" i="3"/>
  <c r="AB14" i="3"/>
  <c r="AA14" i="3"/>
  <c r="AF13" i="3"/>
  <c r="AG13" i="3" s="1"/>
  <c r="AE13" i="3"/>
  <c r="AD13" i="3"/>
  <c r="AB13" i="3"/>
  <c r="AA13" i="3"/>
  <c r="AG12" i="3"/>
  <c r="AF12" i="3"/>
  <c r="AE12" i="3"/>
  <c r="AD12" i="3"/>
  <c r="AB12" i="3"/>
  <c r="AA12" i="3"/>
  <c r="AF11" i="3"/>
  <c r="AG11" i="3" s="1"/>
  <c r="I26" i="2" s="1"/>
  <c r="AE11" i="3"/>
  <c r="AD11" i="3"/>
  <c r="AB11" i="3"/>
  <c r="AA11" i="3"/>
  <c r="AF10" i="3"/>
  <c r="AG10" i="3" s="1"/>
  <c r="AE10" i="3"/>
  <c r="H14" i="2" s="1"/>
  <c r="AD10" i="3"/>
  <c r="AB10" i="3"/>
  <c r="AA10" i="3"/>
  <c r="AF9" i="3"/>
  <c r="AG9" i="3" s="1"/>
  <c r="I14" i="2" s="1"/>
  <c r="AE9" i="3"/>
  <c r="AD9" i="3"/>
  <c r="AB9" i="3"/>
  <c r="AA9" i="3"/>
  <c r="AF8" i="3"/>
  <c r="AG8" i="3" s="1"/>
  <c r="AE8" i="3"/>
  <c r="AD8" i="3"/>
  <c r="AB8" i="3"/>
  <c r="AA8" i="3"/>
  <c r="AF7" i="3"/>
  <c r="AG7" i="3" s="1"/>
  <c r="AE7" i="3"/>
  <c r="AD7" i="3"/>
  <c r="AB7" i="3"/>
  <c r="AA7" i="3"/>
  <c r="AF6" i="3"/>
  <c r="AG6" i="3" s="1"/>
  <c r="AE6" i="3"/>
  <c r="AD6" i="3"/>
  <c r="AB6" i="3"/>
  <c r="AA6" i="3"/>
  <c r="AG5" i="3"/>
  <c r="AF5" i="3"/>
  <c r="AE5" i="3"/>
  <c r="AD5" i="3"/>
  <c r="AB5" i="3"/>
  <c r="AA5" i="3"/>
  <c r="H26" i="2"/>
  <c r="G26" i="2"/>
  <c r="E26" i="2"/>
  <c r="I25" i="2"/>
  <c r="H25" i="2"/>
  <c r="G25" i="2"/>
  <c r="E25" i="2"/>
  <c r="H24" i="2"/>
  <c r="G24" i="2"/>
  <c r="E24" i="2"/>
  <c r="H23" i="2"/>
  <c r="G23" i="2"/>
  <c r="E23" i="2"/>
  <c r="H22" i="2"/>
  <c r="G22" i="2"/>
  <c r="E22" i="2"/>
  <c r="H21" i="2"/>
  <c r="G21" i="2"/>
  <c r="E21" i="2"/>
  <c r="H20" i="2"/>
  <c r="G20" i="2"/>
  <c r="E20" i="2"/>
  <c r="G19" i="2"/>
  <c r="E19" i="2"/>
  <c r="I18" i="2"/>
  <c r="H18" i="2"/>
  <c r="G18" i="2"/>
  <c r="E18" i="2"/>
  <c r="H17" i="2"/>
  <c r="G17" i="2"/>
  <c r="E17" i="2"/>
  <c r="H16" i="2"/>
  <c r="G16" i="2"/>
  <c r="E16" i="2"/>
  <c r="H15" i="2"/>
  <c r="G15" i="2"/>
  <c r="E15" i="2"/>
  <c r="G14" i="2"/>
  <c r="E14" i="2"/>
  <c r="H13" i="2"/>
  <c r="G13" i="2"/>
  <c r="E13" i="2"/>
  <c r="J8" i="2"/>
  <c r="G8" i="2"/>
  <c r="D8" i="2"/>
  <c r="A8" i="2"/>
  <c r="J5" i="2"/>
  <c r="G5" i="2"/>
  <c r="D5" i="2"/>
  <c r="A5" i="2"/>
  <c r="F10" i="1"/>
  <c r="F9" i="1"/>
  <c r="F8" i="1"/>
  <c r="F7" i="1"/>
  <c r="I16" i="2" l="1"/>
  <c r="F11" i="1"/>
  <c r="I15" i="2"/>
  <c r="I22" i="2"/>
</calcChain>
</file>

<file path=xl/sharedStrings.xml><?xml version="1.0" encoding="utf-8"?>
<sst xmlns="http://schemas.openxmlformats.org/spreadsheetml/2006/main" count="5587" uniqueCount="1261">
  <si>
    <t>Libro reorganizado para gestión, análisis y control de calidad de los programas sociales de PARACEL. Conserva las hojas originales y agrega capas ejecutivas, normalizadas y de verificación.</t>
  </si>
  <si>
    <t>Objetivo del libro</t>
  </si>
  <si>
    <t>Centralizar la trazabilidad documental, la estructura programática, los targets, los indicadores y las alertas de calidad del registro maestro.</t>
  </si>
  <si>
    <t>01</t>
  </si>
  <si>
    <t>Vista ejecutiva con KPI, presupuesto consolidado y seguimiento por programa</t>
  </si>
  <si>
    <t>Indicadores de control</t>
  </si>
  <si>
    <t>02</t>
  </si>
  <si>
    <t>02_MATRIZ_EJECUTIVA</t>
  </si>
  <si>
    <t>Matriz limpia de targets con campos derivados, presupuesto normalizado y semáforo de calidad</t>
  </si>
  <si>
    <t>Programas vigentes</t>
  </si>
  <si>
    <t>03</t>
  </si>
  <si>
    <t>03_INDICADORES_NORMALIZADOS</t>
  </si>
  <si>
    <t>Indicadores separados en filas para explotación analítica</t>
  </si>
  <si>
    <t>Programas con ficha</t>
  </si>
  <si>
    <t>04</t>
  </si>
  <si>
    <t>04_CRONOGRAMA_TARGETS</t>
  </si>
  <si>
    <t>Calendario mensual de activación por target</t>
  </si>
  <si>
    <t>Programs sin ficha</t>
  </si>
  <si>
    <t>05_CONTROL_CALIDAD</t>
  </si>
  <si>
    <t>06</t>
  </si>
  <si>
    <t>06_DICCIONARIO</t>
  </si>
  <si>
    <t>Definición de hojas, campos y criterios de mantenimiento</t>
  </si>
  <si>
    <t>Indicadores normalizados</t>
  </si>
  <si>
    <t>RAW</t>
  </si>
  <si>
    <t>Programas Vigentes</t>
  </si>
  <si>
    <t>Hoja original, catálogo de programas vigentes</t>
  </si>
  <si>
    <t>Alertas críticas</t>
  </si>
  <si>
    <t>Historial Versiones</t>
  </si>
  <si>
    <t>Hoja original, historial documental</t>
  </si>
  <si>
    <t>Fichas Técnicas</t>
  </si>
  <si>
    <t>Hoja original, consolidado de fichas</t>
  </si>
  <si>
    <t>Targets por Ficha</t>
  </si>
  <si>
    <t>Hoja original, targets por ficha</t>
  </si>
  <si>
    <t>Indicadores</t>
  </si>
  <si>
    <t>Hoja original, indicadores agregados</t>
  </si>
  <si>
    <t>MATRIZ CONSOLIDADA</t>
  </si>
  <si>
    <t>Hoja original, matriz histórica consolidada</t>
  </si>
  <si>
    <t>Síntesis del portafolio social, cobertura documental y calidad del registro maestro.</t>
  </si>
  <si>
    <t>Total programas</t>
  </si>
  <si>
    <t>Programas sin ficha</t>
  </si>
  <si>
    <t>Targets</t>
  </si>
  <si>
    <t>Indicadores individualizados</t>
  </si>
  <si>
    <t>Documentos en historial</t>
  </si>
  <si>
    <t>Presupuesto total normalizado</t>
  </si>
  <si>
    <t>Seguimiento por programa</t>
  </si>
  <si>
    <t>Hallazgos clave</t>
  </si>
  <si>
    <t>Código</t>
  </si>
  <si>
    <t>Programa</t>
  </si>
  <si>
    <t>Estado</t>
  </si>
  <si>
    <t>Tiene Ficha</t>
  </si>
  <si>
    <t>Versiones</t>
  </si>
  <si>
    <t>Presupuesto (USD)</t>
  </si>
  <si>
    <t>Completitud Prom.</t>
  </si>
  <si>
    <t>Críticos</t>
  </si>
  <si>
    <t>La matriz ejecutiva contiene 31 registros de target.</t>
  </si>
  <si>
    <t>PR-SS-AAE</t>
  </si>
  <si>
    <t>Programa de Manejo Interno por Afectación de Tierras y Riesgos por Agentes Externos</t>
  </si>
  <si>
    <t>Vigente</t>
  </si>
  <si>
    <t>Sí</t>
  </si>
  <si>
    <t>Existen 2 programas vigentes sin ficha técnica explícita en el catálogo.</t>
  </si>
  <si>
    <t>PR-SS-CON</t>
  </si>
  <si>
    <t>Programa de Sensibilización y Seguimiento a Contratistas y Trabajadores</t>
  </si>
  <si>
    <t>Los campos de fórmula, fuente, periodicidad, responsable y evidencia se encuentran ampliamente incompletos en los targets.</t>
  </si>
  <si>
    <t>PR-SS-EMU</t>
  </si>
  <si>
    <t>Programa de Empoderamiento de la Mujer</t>
  </si>
  <si>
    <t>La normalización de indicadores permite trabajar el seguimiento a nivel de indicador individual.</t>
  </si>
  <si>
    <t>PR-SS-MDO</t>
  </si>
  <si>
    <t>Programa de Desarrollo y Vinculación de Mano de Obra Local</t>
  </si>
  <si>
    <t>PR-SS-MSC</t>
  </si>
  <si>
    <t>Programa de Manejo Social</t>
  </si>
  <si>
    <t>PR-SS-MSO</t>
  </si>
  <si>
    <t>Programa de Monitoreo Social</t>
  </si>
  <si>
    <t>No</t>
  </si>
  <si>
    <t>PR-SS-PCS</t>
  </si>
  <si>
    <t>Programa de Prevención y Gestión de Contingencias Sociales</t>
  </si>
  <si>
    <t>PR-SS-PCU</t>
  </si>
  <si>
    <t>Programa de Gestión del Patrimonio Cultural</t>
  </si>
  <si>
    <t>PR-SS-PDP</t>
  </si>
  <si>
    <t>Programa de Promoción y Desarrollo de Empresas Proveedoras Locales</t>
  </si>
  <si>
    <t>PR-SS-QRI</t>
  </si>
  <si>
    <t>Programa de Gestión de Quejas, Consultas y Sugerencias</t>
  </si>
  <si>
    <t>PR-SS-RCI</t>
  </si>
  <si>
    <t>Programa de Relacionamiento con Comunidades e Inversión Social</t>
  </si>
  <si>
    <t>PR-SS-RPI</t>
  </si>
  <si>
    <t>Programa de Relacionamiento con Comunidades Indígenas</t>
  </si>
  <si>
    <t>PR-SS-SEV</t>
  </si>
  <si>
    <t>Programa de Seguridad Vial</t>
  </si>
  <si>
    <t>PR-SS-SSC</t>
  </si>
  <si>
    <t>Programa de Salud y Seguridad Comunitaria</t>
  </si>
  <si>
    <t>02. MATRIZ EJECUTIVA DE TARGETS</t>
  </si>
  <si>
    <t>Versión depurada de la matriz consolidada, se excluye el anexo histórico embebido y se agregan campos derivados para análisis y control.</t>
  </si>
  <si>
    <t>N°</t>
  </si>
  <si>
    <t>CÓDIGO PROGRAMA</t>
  </si>
  <si>
    <t>NOMBRE PROGRAMA</t>
  </si>
  <si>
    <t>VERSIÓN PROG.</t>
  </si>
  <si>
    <t>ESTADO</t>
  </si>
  <si>
    <t>NOMBRE FICHA</t>
  </si>
  <si>
    <t>VERSIÓN FICHA</t>
  </si>
  <si>
    <t>FECHA FICHA</t>
  </si>
  <si>
    <t>TARGET N°</t>
  </si>
  <si>
    <t>DESCRIPCIÓN TARGET</t>
  </si>
  <si>
    <t>ACTIVIDADES</t>
  </si>
  <si>
    <t>INDICADOR</t>
  </si>
  <si>
    <t>FÓRMULA DE CÁLCULO</t>
  </si>
  <si>
    <t>FUENTE DE VERIFICACIÓN</t>
  </si>
  <si>
    <t>PERIODICIDAD</t>
  </si>
  <si>
    <t>RESPONSABLE</t>
  </si>
  <si>
    <t>EVIDENCIA</t>
  </si>
  <si>
    <t>PRODUCTOS</t>
  </si>
  <si>
    <t>RESULTADO ESPERADO</t>
  </si>
  <si>
    <t>PRESUPUESTO (USD)</t>
  </si>
  <si>
    <t>MESES ACTIVOS</t>
  </si>
  <si>
    <t>PROPÓSITO FICHA</t>
  </si>
  <si>
    <t>NECESIDAD</t>
  </si>
  <si>
    <t>OBJETIVO PROGRAMA</t>
  </si>
  <si>
    <t>ALCANCE PROGRAMA</t>
  </si>
  <si>
    <t>MARCO LEGAL</t>
  </si>
  <si>
    <t>ID REGISTRO</t>
  </si>
  <si>
    <t>AÑO FICHA</t>
  </si>
  <si>
    <t>PRESUPUESTO NORMALIZADO (USD)</t>
  </si>
  <si>
    <t>N° MESES ACTIVOS</t>
  </si>
  <si>
    <t>% COMPLETITUD OPERATIVA</t>
  </si>
  <si>
    <t>INCIDENCIAS</t>
  </si>
  <si>
    <t>ESTADO CALIDAD</t>
  </si>
  <si>
    <t>Desarrollo y Vinculación de Mano de Obra Local</t>
  </si>
  <si>
    <t>v05</t>
  </si>
  <si>
    <t>PROGRAMA DE DESARROLLO Y VINCULACIÓN CON LA MANO DE OBRA LOCAL</t>
  </si>
  <si>
    <t>v01</t>
  </si>
  <si>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t>
  </si>
  <si>
    <t>1. Selección de organizaciones aliadas para el desarrollo de las capacitaciones y las certificaciones. 
2. Suscribir convenios con instituciones educativas locales y nacionales con el fin de acordar un marco de cooperación para la formación y capacitación laboral del capital humano local y nacional.</t>
  </si>
  <si>
    <t>- Indicadores de Educación
 - Indicadores de Empleo</t>
  </si>
  <si>
    <t>1 - Convenios / acuerdos.
2 - Curso de capacitación
3 - Jornadas de certificación.
4 - Base de datos de personas que culminaron los cursos y certificaciones.
4-  Informe de línea de base.
5-  Proyecto</t>
  </si>
  <si>
    <t>- Aumento del  número de jóvenes y adultos  con competencias técnicas y profesionales para acceder al empleo (trabajo decente). 
 - Profesionales certificados para acceder al empleo (trabajo decente o</t>
  </si>
  <si>
    <t>May, Jun, Jul, Ago, Sep, Oct, Nov, Dic</t>
  </si>
  <si>
    <t>Desarrollar e instalar competencias y capacidades técnicas y profesionales en el área de influencia de Paracel</t>
  </si>
  <si>
    <t xml:space="preserve">- Falta de competencias técnicas y profesionales en la mano de obra local y departamental.
 - Centralización en la ciudad Concepción de los servicios de educación técnico y profesional. 
 - Población </t>
  </si>
  <si>
    <t>Promover la generación de empleo local a través de la vinculación de mano de obra calificada y no calificada, [además del desarrollo e instalación de capacidades, en el área de influencia de Paracel].</t>
  </si>
  <si>
    <t>DEFINICIONES Área de Influencia Directa (AID) del componente industrial: incluyen 5 distritos cercanos al sitio de la Planta Industrial, incluyendo a 18 comunidades que se encuentran en un radio de 13</t>
  </si>
  <si>
    <t>Becar a jóvenes de las comunidades del área e influencia de Paracel:
- 10 jóvenes para educación en Bachiller Técnico.
- 11 jóvenes para educación Terciaria.</t>
  </si>
  <si>
    <t>1 - Seleccionar a las personas jóvenes conforme a criterios de elegibilidad.
2 - Medición de la línea de base. 
3 - Buscar aliados estratégicos para la implementación del proyecto de becas (si aplica).
4 - Firma de carta compromiso. 
5- Llamado interno para contar con voluntarios/as para el acompaña</t>
  </si>
  <si>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</si>
  <si>
    <t>Jóvenes con estudios técnicos y terciarios finalizados.</t>
  </si>
  <si>
    <t>14.851</t>
  </si>
  <si>
    <t>Feb, Mar, Abr, May, Jun, Jul, Ago, Sep, Oct, Nov, Dic</t>
  </si>
  <si>
    <t>Empoderamiento de la Mujer</t>
  </si>
  <si>
    <t>v04</t>
  </si>
  <si>
    <t>EMPODERAMIENTO DE LA MUJER</t>
  </si>
  <si>
    <t>Difundir la Ruta de Auxilio desarrollada en el año 2024 con foco en los siguientes municipios: Concepción, Paso Barreto, Sargento José Felix López, Paso Horqueta, alcanzando como mínimo al 80% de las comunidades del área de influencia de Paracel.</t>
  </si>
  <si>
    <t>1. Selección de las áreas geográficas a ser intervenidas (componentes) y comunidades alcanzadas.
2. Difusión de los materiales.
3. Desarrollo del informe final.</t>
  </si>
  <si>
    <t>- Número de personas alcanzadas clasificadas sexo, edad, etnia, comunidad, institución, etc.
 - N° de materiales desarrollados y difundidos.</t>
  </si>
  <si>
    <t>1. Materiales difundidos.
2. Informe final.</t>
  </si>
  <si>
    <t>Personas de las comunidades del área de influencia de Paracel con información la ruta de auxilio ante casos de violencia hacia las mujeres.</t>
  </si>
  <si>
    <t>0</t>
  </si>
  <si>
    <t>Jun, Jul, Oct, Nov, Dic</t>
  </si>
  <si>
    <t>Empoderar a las mujeres para acortar las brechas de desigualdad étnicas y de género.</t>
  </si>
  <si>
    <t xml:space="preserve">Las mujeres no participan plenamente de todos los sectores y todos los niveles de la actividad económica, y por ende no se construyen economías fuertes,  y esto conlleva a no cumplir los objetivos de </t>
  </si>
  <si>
    <t>Empoderar a las mujeres para acortar las brechas de desigualdad étnicas y de género. | [FSC-STD-PRY-01-2022] Normas de Desempeño IFC REGISTROS Y/O ANEXO [Registro del Plan de Comunicación [Registro de</t>
  </si>
  <si>
    <t>El programa de Empoderamiento de la Mujer tiene el siguiente alcance: DEFINICIONES Área de Influencia Directa (AID) del componente indígena:  está compuesta por las comunidades indígenas ubicadas entr</t>
  </si>
  <si>
    <t>Fortalecer la red de apoyo para las mujeres de la Región de Concepción desarrollando como mínimo 3 espacios.</t>
  </si>
  <si>
    <t>1. Propiciar espacios de intercambio de conocimientos, experiencias y aprendizajes con la red de mujeres y referentes invitadas por Paracel.
2. Desarrollo del informe final.</t>
  </si>
  <si>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</si>
  <si>
    <t>1. Informe final.</t>
  </si>
  <si>
    <t>Mujeres de la red de apoyo con mayor conocimiento para afrontar los desafíos de las mujeres en la sociedad.</t>
  </si>
  <si>
    <t>Jul, Sep, Nov, Dic</t>
  </si>
  <si>
    <t>Sensibilización y Seguimiento a Contratistas y Trabajadores</t>
  </si>
  <si>
    <t>GESTIÓN DE EMPRESAS CONTRATISTAS</t>
  </si>
  <si>
    <t>v00</t>
  </si>
  <si>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t>
  </si>
  <si>
    <t>1. Selección de empresas contratistas a ser auditadas (el número de empresas puede aumentar dependiendo de los hallazgos de No Conformidades).
2. Desarrollo de las auditorías trimestrales.
3. Acompañamiento mensual para la revisión de los planes de acciones correctivas para el cierre de los hallazgo</t>
  </si>
  <si>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</si>
  <si>
    <t>Informes de Auditoría
Manual de Buenas Prácticas de Manufactura.</t>
  </si>
  <si>
    <t>- Cumplimiento de las normativas nacionales e internaciones.
 - Respeto en la vinculación con comunidades indígenas y rurales.</t>
  </si>
  <si>
    <t>----</t>
  </si>
  <si>
    <t>Ene, Feb, Mar, Abr, May, Jun, Jul, Ago, Sep, Oct, Nov, Dic</t>
  </si>
  <si>
    <t>Acompañar y monitorear a [empresas contratistas y trabajadores/as] para asegurar el cumplimiento de las normativas nacionales y [estándares de sostenibilidad internacionales en materia social].
Monito</t>
  </si>
  <si>
    <t>Incumplimiento de normativas nacionales e estándares internacionales, y de los requisitos establecidos por Paracel a las empresas proveedoras por falta de conocimineto y experiencia por parte de empre</t>
  </si>
  <si>
    <t>Acompañar y monitorear a [empresas contratistas y trabajadores/as] para asegurar el cumplimiento de las normativas nacionales y [estándares de sostenibilidad internacionales en materia social]. Monito</t>
  </si>
  <si>
    <t>[Este programa tiene el siguiente alcance]: DEFINICIONES Área de Influencia Directa (AID) del componente forestal: incluye a [6] distritos en los que se localizan las áreas de las plantaciones foresta</t>
  </si>
  <si>
    <t>Sensibilizar al 100% de las empresas contratistas del componente forestal e industrial [(si aplica)] en temas relacionados [a las normas nacionales, estándares internacionales y procesos documentales adoptados de Paracel].</t>
  </si>
  <si>
    <t>1. Desarrollar un plan de capacitación para las áreas administrativas de las empresas contratistas, sobre principios establecidos en los estándares y procesos documentales adoptados por Paracel.
2. Implementar las capacitaciones   conforme al plan de capacitación. 
3. Identificar en campo, situacion</t>
  </si>
  <si>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</si>
  <si>
    <t>Plan de Capacitación
Capacitaciones</t>
  </si>
  <si>
    <t>Empresas más sensibilizadas y con conocimiento.</t>
  </si>
  <si>
    <t>Mar, Jun, Jul, Ago, Sep, Nov, Dic</t>
  </si>
  <si>
    <t>Salud y Seguridad Comunitaria</t>
  </si>
  <si>
    <t>v06</t>
  </si>
  <si>
    <t>SALUD Y SEGURIDAD COMUNITARIA</t>
  </si>
  <si>
    <t>Posibilitar la asistencia médica a aproximadamente 1.500 personas de comunidades del área de influencia de Paracel reduciendo la brecha de acceso a los programas y servicios nacionales de salud en el período 2025.</t>
  </si>
  <si>
    <t>1.Lograr una vinculación cercana con las Unidades de Salud Familiar y los Centros de Salud del ADA y AID y con el Ministerio de Salud Pública y Bienestar Social, [a través de las regionales de salud de Concepción y Amambay].
2.Selección de las comunidades a ser beneficiadas con las asistencias médic</t>
  </si>
  <si>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</si>
  <si>
    <t>1. Convenios 
2. Informe de línea de base.
3. Registros de servicios.
4. Informe final.</t>
  </si>
  <si>
    <t>1.500 personas asistidas</t>
  </si>
  <si>
    <t>. 16.585</t>
  </si>
  <si>
    <t xml:space="preserve">Implementar un programa eficiente para promover el cuidado de la higiene, la seguridad y la salud de la población con énfasis en la prevención de enfermedades que pudieran relacionarse con el aumento </t>
  </si>
  <si>
    <t>Poco acceso a servicios de salud por parte de los miembros de las comunidades y falta de conocimiento sobre planificación familiar y ETS.</t>
  </si>
  <si>
    <t>El programa de Salud y Seguridad Comunitaria tiene el siguiente alcance: DEFINICIONES Área de Influencia Directa (AID) del componente industrial: incluyen 5 distritos cercanos al sitio de la Planta In</t>
  </si>
  <si>
    <t>Distribuir 10.000 kilos de leche del Programa Alimentario Nutricional Integral (PANI) con un alcance de 5.000 personas en el período 2025.</t>
  </si>
  <si>
    <t xml:space="preserve">1. Generar alianzas con la Primera Región Sanitaria.
2. Seleccionar las USF a ser intervenidas (PANI).
3. Distribución y entrega de las leches en las USF seleccionadas. 
4. Selección de las USF a ser intervenidas (PAI).
5. Jornadas de inmunización en comunidades de la zona de influencia de Paracel.
</t>
  </si>
  <si>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</si>
  <si>
    <t>5.000 personas beneficiadas.</t>
  </si>
  <si>
    <t>11.155 = 6.494 + 4.661</t>
  </si>
  <si>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</si>
  <si>
    <t>1. Generar alianzas con la Cruz Roja Paraguaya, la Primera Región Sanitaria y el PRONASIDA.
2. Desarrollar capacitaciones / talleres sobre salud sexual y reproductiva, incluidos los de planificación familiar. Ayudar a tomar conciencia acerca de enfermedades y su prevención, por ejemplo, según las ci</t>
  </si>
  <si>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</si>
  <si>
    <t>1. Convenio
2. Sistematización de los talleres (materiales, contenido, etc.).
3. Informe final.</t>
  </si>
  <si>
    <t>Comunidades sensibilizadas en temas relacionados a Prevención de VIH|SIDA, Planificación Familiar y testeos.</t>
  </si>
  <si>
    <t>.  10.649</t>
  </si>
  <si>
    <t>Mar, Abr, May, Jun, Jul, Ago, Sep, Oct, Nov, Dic</t>
  </si>
  <si>
    <t>Apoyar al Ministerio de la Niñez y Adolescencia en la prevención de la violencia hacia la niñez y la adolescencia, en las comunidades del área de influencia de Paracel.</t>
  </si>
  <si>
    <t>1. Planificar las acciones considerando el marco de cooperación | selección de las comunidades.
2. Implementación de las actividades planificadas.</t>
  </si>
  <si>
    <t>- Número de personas formadas como facilitadoras.
 - Número de instituciones representadas.
 - Número de personas alcanzadas en espacios de sensibilización clasificadas por edad y sexo. 
 - Número de materiales entregados.</t>
  </si>
  <si>
    <t>Informe final.</t>
  </si>
  <si>
    <t>Personas formadas y sensibilizadas en prevencion de violencia hacia niñez y la adolescencia.</t>
  </si>
  <si>
    <t>. 30.000</t>
  </si>
  <si>
    <t>Mar, Abr, May, Jun, Jul, Ago, Sep, Oct, Nov</t>
  </si>
  <si>
    <t>Manejo Social</t>
  </si>
  <si>
    <t>MANEJO SOCIAL</t>
  </si>
  <si>
    <t>Realizar espacios informativos en el año, en las comunidades del área de influencia directa de Paracel.</t>
  </si>
  <si>
    <t>1. Reuniones semestrales con pobladores del ADA, AID y con las comunidades indígena para transferir información sobre Paracel, acompañar y monitorear la percepción de los mismos con relación a Paracel.
2. Toma de datos acerca de la percepción de las personas y datos sobre migración.</t>
  </si>
  <si>
    <t>1. Número de personas participantes por comunidad clasificadas, por edad, sexo, franja etaria, comunidad, etnia.
2. Índice de percepción.
3. Datos sobre migración 
4. Materiales desarrollados.
5. Número de personas de las diferentes áreas de Paracel participantes.</t>
  </si>
  <si>
    <t>- Informe de percepción.
 - Materiales informativos | educativos desarrollados.</t>
  </si>
  <si>
    <t>- Miembros de las comunidades informados.
 - Mejora continua en nuestros procesos con relación a expectativas de los miembros de las comunidades.</t>
  </si>
  <si>
    <t>8.442</t>
  </si>
  <si>
    <t>Jul, Nov</t>
  </si>
  <si>
    <t>Identificar las afectaciones generadas por la empresa, buscando minimizarlas, con foco en las comunidades del área de influencia de Paracel.</t>
  </si>
  <si>
    <t>Contar con información sobre la percepción y expectativas de los miembros de las comunidades con relación a desempeño de Paracel, a fin de establacer acciones de mejora.</t>
  </si>
  <si>
    <t>Identificar las afectaciones generadas por la empresa, buscando minimizarlas, con foco en las comunidades del área de influencia de Paracel. | [FSC-STD-PRY-01-2022] Normas de Desempeño IFC REGISTROS Y</t>
  </si>
  <si>
    <t>El programa de Manejo Social tiene el siguiente alcance: DEFINICIONES Área Directamente Afectada (ADA) del componente industrial: unidades sociales y comunidades situadas en el entorno inmediato de la</t>
  </si>
  <si>
    <t>Alinear expectativas de miembros de las comunidades y otros grupos de interés acerca del funcionamiento de Paracel e inversiones sociales.</t>
  </si>
  <si>
    <t>1. Reuniones semestrales con los líderes y lideresas de las comunidades rurales e indígenas del área de influencia de Paracel, para la socialización y actualización de las actividades desarrolladas en el marco de los programas sociales de la empresa. 
2. Alinear expectativas de líderes y líderesas d</t>
  </si>
  <si>
    <t>1. Número de personas participantes por comunidad clasificadas, por edad, sexo, franja etaria, comunidad, etnia.
2. Índice de percepción.
3. Materiales desarrollados.
4. Número de personas de las diferentes áreas de Paracel participantes.</t>
  </si>
  <si>
    <t>- Líderes y lideresas de las comunidades informados/as.
 - Mejora continua en nuestros procesos con relación a expectativas de los miembros de las comunidades.</t>
  </si>
  <si>
    <t>6.044</t>
  </si>
  <si>
    <t>Prevención y Gestión de Contingencias Sociales</t>
  </si>
  <si>
    <t>PREVENCIÓN CONTINGENCIAS SOCIALES</t>
  </si>
  <si>
    <t>Fortalecer la prevención de incendios forestales en 8 comunidades del área de influencia de Paracel mediante acciones de concientización y capacitación. Además, lograr la conformación de una brigada comunitaria.</t>
  </si>
  <si>
    <t>1- Contratar a la empresa consultora para el desarrollo de los talleres, y/o generar alianzas.
2- Identificación y selección de comunidades a intervenir con el desarrollo de los espacios de concientización y capacitación de prevención de incendios forestales.
3- Desarrollo de talleres rurales partic</t>
  </si>
  <si>
    <t>1. N° de talleres realizados.
2. N° de personas participantes.
3. N° de personas que conforman la brigada.
4. N° de personas entrenadas. 
5. N° de reuniones y acuerdos realizados.</t>
  </si>
  <si>
    <t>- Informe final de actividades.
 - Materiales informativos - educativos desarrollados.
 - Informe de datos acerca de conocimientos adquiridos.</t>
  </si>
  <si>
    <t>- Prevención de incendios forestales.
 - Mejora en los procesos de respuesta e intervención en casos de incendios forestales.</t>
  </si>
  <si>
    <t>5.887</t>
  </si>
  <si>
    <t>Jun, Jul, Ago, Sep, Oct</t>
  </si>
  <si>
    <t>Prevenir y dar una pronta respuesta ante contingencias sociales, tanto en las etapas constructiva y operativa de Paracel en su componente industrial, como en las etapas de instalación, operación y man</t>
  </si>
  <si>
    <t>Gestionar de forma adecuada las respuestas ante las contingencias sociales que pudieran ser generadas a raíz de las intervenciones operacionales de Paracel con los diferentes grupos de interés.</t>
  </si>
  <si>
    <t>El programa de Prevención y Gestión de Contingencias Sociales tiene el siguiente alcance: DEFINICIONES Área de Influencia Directa (AID) del componente industrial: incluyen 5 distritos cercanos al siti</t>
  </si>
  <si>
    <t>Además, lograr la conformación de una brigada comunitaria.</t>
  </si>
  <si>
    <t xml:space="preserve">1. Selección de organización con experiencia para la conformación de la brigada comunitaria en la comunidad indígena Takuarita.
2. Taller rural participativo para la conformación de brigada comunitaria con la comunidad indígena Takuarita.
3. Desarrollo del entrenamiento de la brigada comunitaria, a </t>
  </si>
  <si>
    <t>- Brigada comunitaria conformada.</t>
  </si>
  <si>
    <t>- Prevención de incendios forestales y capacidad de respuesta ante situaciones críticas.</t>
  </si>
  <si>
    <t>821</t>
  </si>
  <si>
    <t>Jun, Jul, Ago, Sep</t>
  </si>
  <si>
    <t>Manejo Interno por Afectación de Tierras y Riesgos por Agentes Externos</t>
  </si>
  <si>
    <t>MANEJO INTERNO POR AFECTACIÓN DE TIERRAS Y RIESGO POR AGENTES EXTERNOS</t>
  </si>
  <si>
    <t>Contar con acuerdos de servidumbre de paso con el 100% de las estancias vecinas de las propiedades forestales con el fin de garantizar el libre tránsito de los miembros de Paracel y empresas contratistas.</t>
  </si>
  <si>
    <t>1.Actualización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
2. Elaboració</t>
  </si>
  <si>
    <t>1- N° de propiedades a ser utilizadas como servidumbre de paso
2- N° de documentos elaborados
3- N° de comunicados elaborados
4- N° de comunicados emitidos
5- N° de reuniones
6- N° de personas participantes
7- N° de acuerdos firmados</t>
  </si>
  <si>
    <t>Acuerdos de servidumbre de paso.</t>
  </si>
  <si>
    <t>Granatizar el libre tránsito de los miembros de Paracel y empresas contratistas.</t>
  </si>
  <si>
    <t>Jun, Jul, Ago, Sep, Oct, Nov, Dic</t>
  </si>
  <si>
    <t>Prevenir conflictos con terceros (propietarios/as de inmuebles utilizados como servidumbre) y delinear protocolos internos para garantizar la seguridad de las personas que conforman los equipos de Par</t>
  </si>
  <si>
    <t>Formalizar los acuerdos con propietarios/as de inmuebles vecinos y con miembros de las comunidades en caso de que aplique con relación al uso de caminos. Reducir los riesgos de conflictos.</t>
  </si>
  <si>
    <t>Prevenir conflictos con terceros ([propietarios/as] de inmuebles utilizados como servidumbre) y delinear protocolos internos para garantizar la seguridad de las personas que conforman los equipos de P</t>
  </si>
  <si>
    <t>[El alcance del programa se presenta a continuación]: DEFINICIONES Área de Influencia Directa (AID) del componente forestal: incluye a [6] distritos en los que se localizan las áreas de las plantacion</t>
  </si>
  <si>
    <t>Velar porque el 100% de colaboradores/as de empresas proveedoras de servicio de seguridad corporativa se encuentren sensibilizados/as en materia de Derechos Humanos.</t>
  </si>
  <si>
    <t>1. Solicitar al área de Compras/Seguridad Corporativa un informe trimestral sobre registros de entrenamiento en temas de Derechos Humanos a colaboradores/as de empresas proveedoras de servicios de seguridad y control de acceso. Paracel resguardará que estas personas no ejerzan “abusos de poder”.
 2.</t>
  </si>
  <si>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</si>
  <si>
    <t>Informes</t>
  </si>
  <si>
    <t>Reducir la probabilidad de que existan desvíos en la conducta del equipo de seguridad con relación a temas de Derechos Humanos.</t>
  </si>
  <si>
    <t>Jun, Sep, Dic</t>
  </si>
  <si>
    <t>Gestión de Quejas, Consultas y Sugerencias</t>
  </si>
  <si>
    <t>GESTIÓN DE QUEJAS, CONSULTAS Y SUGERENCIAS</t>
  </si>
  <si>
    <t>El 100% de casos  ingresados a través de los diferentes canales establecidos por Paracel atendidos/gestionados.</t>
  </si>
  <si>
    <t>1. Funcionamiento del canal externo de atención de quejas.
2. Socializar el procedimiento de gestión de quejas, sugerencias y consultas con todas las partes interesadas de Paracel y los canales correspondientes.
3. Seguimiento y verificación del funcionamiento del sistema de gestión de quejas, suger</t>
  </si>
  <si>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</si>
  <si>
    <t>- Sistema de gestión de quejas, sugerencias y consultas.
 - Informe de seguimientiento a las quejas consultas y sugerencias de las comunidades indígenas.</t>
  </si>
  <si>
    <t>Canalización, atención y direccionamiento, de las quejas, consultas y sugerencias de la población y las comunidades indígenas.</t>
  </si>
  <si>
    <t>Garantizar atención a las quejas, sugerencias y consultas de la población de las áreas de influencia de Paracel, colaboradores/as propios/as y de empresas proveedoras, pueblos indígenas y de la poblac</t>
  </si>
  <si>
    <t>Temores y expectativas generadas en la población y las comunidades indígenas, afectación de la red social y comunitaria, de los servicios ecosistémicos, cambio en la calidad de vida, usos y costumbres</t>
  </si>
  <si>
    <t>Garantizar atención a las quejas, sugerencias y consultas de la población de las áreas de influencia de Paracel, [colaboradores/as propios/as y de empresas proveedoras], pueblos indígenas y de la pobl</t>
  </si>
  <si>
    <t>Este programa es transversal a: DEFINICIONES Área de Influencia Directa (AID) del componente industrial: incluyen 5 distritos cercanos al sitio de la Planta Industrial, incluyendo a 18 comunidades que</t>
  </si>
  <si>
    <t>100% de los buzones de Quejas, Consultas y Sugerencias ubicados en las comunidades y en las instalaciones de Paracel revisados y gestionados.</t>
  </si>
  <si>
    <t>1. Revisión y reubicación de los buzones en las comunidades e instalaciones de Paracel en caso de necesidad.
2. Comunicación de las ubicaciones de los buzones.
3. Monitoreo de los registros recolectados en los buzones (internos cada 15 días y comunitarios mensual).
4. Planificación de visitas del an</t>
  </si>
  <si>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</si>
  <si>
    <t>- Sistema de gestión de quejas, sugerencias y consultas en funcionamiento.
 - Informe de seguimientiento a las quejas consultas y sugerencias de las comunidades indígenas.</t>
  </si>
  <si>
    <t>Gestión del Patrimonio Cultural</t>
  </si>
  <si>
    <t>PATRIMONIO CULTURAL</t>
  </si>
  <si>
    <t>Monitoreo de la aplicación del Protocolo de Hallazgos Fortuitos por parte de empresas contratistas de Paracel</t>
  </si>
  <si>
    <t>1.Seguimiento en campo de la aplicación del protocolo de hallazgos fortuitos, por parte de las empresas contratistas.
2.Registro y monitoreo de socialización del contenido del Protocolo de Hallazgos Fortuitos.</t>
  </si>
  <si>
    <t>N.º de visitas de monitoreo realizadas en campo.
N.º de empresas contratistas alcanzadas.
N.º de colaboradores/as alcanzados/as.
N.º de personas referentes identificadas y registradas para el reporte de hallazgos.
N.º de reportes de hallazgos generados.</t>
  </si>
  <si>
    <t>1. Registros de monitoreo en campo sobre la aplicación del protocolo.
2. Informe de cumplimiento y avances en la implementación del protocolo</t>
  </si>
  <si>
    <t>Aplicación efectiva del Protocolo de Hallazgos Fortuitos por parte de empresas contratistas.</t>
  </si>
  <si>
    <t>Jun, Ago, Oct, Dic</t>
  </si>
  <si>
    <t>Velar por la gestión adecuada del Patrimonio Cultural de las Áreas de Influencia Directa de Paracel.</t>
  </si>
  <si>
    <t>Desconocimiento y falta de comunicación en la comunidad de la zona de influencia de Paracel, sobre el significado e implicancias del Patrimonio Cultural, sus posibles pérdidas y/o daños.</t>
  </si>
  <si>
    <t>Velar por la gestión adecuada del Patrimonio Cultural de las áreas de Influencia Directa de Paracel. | [FSC-STD-PRY-01-2022] Normas de Desempeño IFC REGISTROS Y/O ANEXO [Minuta de reunión] [Informe de</t>
  </si>
  <si>
    <t>El programa de tiene el siguiente alcance: DEFINICIONES Área de Influencia Directa (AID) del componente industrial: incluyen 5 distritos cercanos al sitio de la Planta Industrial, incluyendo a 18 comu</t>
  </si>
  <si>
    <t>Lograr el rescate, promoción y comercialización de artesanías de la comunidad indígena Redención</t>
  </si>
  <si>
    <t>1. Creación de un catálogo de las artesanías de la comunidad indígena.
2. Soporte logístico para obtención de materia prima para la elaboración de los productos artesanales.
3. Identificación de puntos de venta y generación de alianzas para la comercialización de productos artesanales.
4. Participac</t>
  </si>
  <si>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</si>
  <si>
    <t>1.Catálogo artesanal elaborado.
2.Participación en ferias y exposiciones.
3.Puntos de ventas identificados.
4.Informe final de actividades realizadas</t>
  </si>
  <si>
    <t>Rescate, promoción y fortalecimiento de la comercialización de artesanías de la comunidad indígena Redención, incrementando su visibilidad y acceso a mercados.</t>
  </si>
  <si>
    <t>Relacionamiento con Comunidades e Inversión Social</t>
  </si>
  <si>
    <t>INFRAESTRUCTURA SOCIAL</t>
  </si>
  <si>
    <t>Mejorar la infraestructura en comunidades rurales e indígenas del Área de Influencia de Paracel a través de intervenciones con foco en:
 A - Sistemas de acceso y distribución de agua.
 B -Mejoramiento de los sistemas de accesos y/o distribución de energía eléctrica.</t>
  </si>
  <si>
    <t>1. Seleccionar a las comunidades beneficiarias según críterios de elegibilidad.
2. Firma de cartas de compromiso con todas las comunidades seleccionadas (beneficiarias).
3. Toma de datos para establecimiento de la línea de base (comunitaria).
4. Toma de datos para establecimiento de percepción comun</t>
  </si>
  <si>
    <t>Mejorar la infraestructura en comunidades rurales e indígenas del Área de Influencia de Paracel a través de intervenciones con foco en:
 A - Sistemas de acceso y distribución de agua.
 B -Mejoramiento</t>
  </si>
  <si>
    <t>1- Criterios de elegibilidad del proyecto / mapa comunidades.
2- Convenios/ acuerdos.
3- Carta de compromiso firmadas por las comunidades beneficiadas.
4- Informe de línea de base.
5- Informe de línea</t>
  </si>
  <si>
    <t>- Comunidades con sistemas de acceso y distribución de agua.
 - Comunidades con mejoramiento de los sistemas de accesos y/o distribucion de energía eléctrica.</t>
  </si>
  <si>
    <t>255.831</t>
  </si>
  <si>
    <t>Feb, Jun, Jul, Ago, Sep, Oct, Nov, Dic</t>
  </si>
  <si>
    <t>- Mejora la infraestructura existente.</t>
  </si>
  <si>
    <t>Fomentar el desarrollo local y promover el vínculo cercano entre las comunidades y la empresa. Mejorar la capacidad de producción y de innovación para la agregación de valor a las actividades generado</t>
  </si>
  <si>
    <t>Mejorar la infraestructura existente de la playa municipal del distrito de Paso Horqueta.</t>
  </si>
  <si>
    <t>1. Implementar el proyecto existente
2. Seguimiento a través de la medición de indicadores de proceso.
3. Toma de datos para la medición de impacto del proyecto.
4. Desarrollo del informe final.</t>
  </si>
  <si>
    <t>1- Proyectos Sistematizados
2- Informes mensuales de monitoreo.
3- Informe final del proyecto.</t>
  </si>
  <si>
    <t>Playa Municipal de Paso Horqueta con mejoras en infraestructura y aumento de la percepción positiva de la población.</t>
  </si>
  <si>
    <t>20.000</t>
  </si>
  <si>
    <t>Promoción y Desarrollo de Empresas Proveedoras Locales</t>
  </si>
  <si>
    <t>ASOCIACIÓN DE PESCADORES</t>
  </si>
  <si>
    <t>Propiciar la formalización y mejora de la infraestructura de pescadores/as, con el fin de lograr el comercio optimo a través de la instalación de capacidades y el acceso a mercado.</t>
  </si>
  <si>
    <t>1. Identificación de asociaciones y registro de pescadores.
2.Capacitaciones (formalización, comercialización, gestión).
3. Apoyo a la formalización y acceso a mercados.
4. Creación de alianzas y nuevos canales de venta.
5. Evaluación, contratacion de consultores e inversión.
6. Evaluación inicial d</t>
  </si>
  <si>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</si>
  <si>
    <t>1.Base de datos de asociaciones y pescadores registrados
2.Listado de participantes capacitados
3.Documentación presentada para la formalización
4.Convenios o acuerdos firmados con aliados comerciales</t>
  </si>
  <si>
    <t>Fortalecimiento en la profesionalización y formalización de pescadores, con mejoras en su gestión, acceso a mercados y comercialización de productos.</t>
  </si>
  <si>
    <t>Jun, Jul, Ago, Sep, Oct, Nov</t>
  </si>
  <si>
    <t>Fortalecer la profesionalización y formalización de pescadores/as.</t>
  </si>
  <si>
    <t>- Falta de canales formales para la comercialización de productos derivados de la pesca.
 - Falta de formalización de los miembros de las asociaciones y de las asociaciones.</t>
  </si>
  <si>
    <t>Impulsar el desarrollo y crecimiento de la economía local a través de la promoción de empresas locales y nacionales como posibles [empresas proveedoras]. | [FSC-STD-PRY-01-2022] Normas de Desempeño IF</t>
  </si>
  <si>
    <t>El alcance del programa de detalla a continuación: DEFINICIONES Área de Influencia Directa (AID) del componente industrial: incluyen 5 distritos cercanos al sitio de la Planta Industrial, incluyendo a</t>
  </si>
  <si>
    <t>DESARROLLO DE PROVEEDORES LOCALES</t>
  </si>
  <si>
    <t>Implementar el Programa Ñañoty, de fomento forestal dirigido a [pequeños/as productores/as], situados en un radio de 50 km alrededor de algún emprendimiento (forestal e industrial) de Paracel.</t>
  </si>
  <si>
    <t xml:space="preserve">1. Desarrollar un proyecto piloto de valor compartido con foco en la estrategia 2: inclusión en la cadena de valor de Paracel a [pequeños/as productores/as] forestales (vinculado a los plazos del área de Fomento Forestal.
2. Generar alianzas con organizaciones vinculadas al trabajo con [pequeños/as </t>
  </si>
  <si>
    <t>- Número de plantines donados/entregados como capital semilla.
- Número de alianzas alcanzadas.
- Número de personas vinculadas al proyecto externas a Paracel (por actividad).
- Monto de inversión directa o indirecta por parte de las organizaciones aliadas (por actividad).
- Número de contratos firmados con las personas participantes del proyecto.
- Número de plantines donados/entregados como capital semilla.
- Cantidad de insumos, equipos y herramientas entregados (también en guaraníes).
- Cantidad de horas de asesoramiento técnico destinadas a cada beneficiario/a (visitas).
- Cantidad de asesoramiento técnico a través de visitas destinadas a cada beneficiario/a.
- Cantidad de horas de capacitación destinada a cada beneficiario/a.
- Número de servicios alcanzados con el proyecto (también en guaraníes - mano de obra, flete, traslado, maquinaria).
- Porcentaje de uso del presupuesto de manera mensual.
- Número de mano de obra contratada clasificada por región (local, departamental, nacional).
- Cantidad de guaraníes invertidos en el departamento de Concepción.
- Observación: (todos los datos deben ser clasificados por edad, sexo, tipo de comunidad, las comunidades deben ser clasificadas utilizando el nombre las mismas y las etnias si aplica).</t>
  </si>
  <si>
    <t>1- Criterios de elegibilidad del proyecto / mapa de familias (organizaciones).
2- Convenios/ acuerdos.
3- Carta de compromiso / interés firmadas por las personas/familias/organizaciones beneficiadas (</t>
  </si>
  <si>
    <t>50 hectáreas dentro del programa de fomento forestal social con resultados óptimos en el primer año.</t>
  </si>
  <si>
    <t>Impulsar el desarrollo y crecimiento de la economía local a través de la promoción de empresas locales y nacionales como posibles empresas proveedoras.</t>
  </si>
  <si>
    <t>Diversificación de ingresos de pequeños productores y capital semilla para el desarrollo de plantaciones.</t>
  </si>
  <si>
    <t>Generar alianzas para el desarrollo de espacios de networking y/o capacitación (virtual o presencial) dirigidos a Mipymes, con el objetivo de fortalecer su motivación, creatividad y visión de negocio.</t>
  </si>
  <si>
    <t xml:space="preserve">1. Búsqueda y generación de alianzas y/o acuerdos para el desarrollo de espacios de networking y/o capacitación.
2. Planificación de la jornada de networking y/o espacios de capacitación.
3. Coordinación logística (lugar, insumos, convocatoria).
4. Realización del primer espacio.
5. Realización del </t>
  </si>
  <si>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</si>
  <si>
    <t xml:space="preserve">1. Alianzas logradas.
2. Materiales y metodologías de trabajo desarrolladas.
3. Plan logístico y registro de participantes.
4. Primer espacio realizado.
5. Segundo espacio realizado.
6. Resultados de </t>
  </si>
  <si>
    <t>Espacios de networking y/o capacitaciones ejecutados con éxito, fortaleciendo las capacidades de los participantes y fomentando la creación de redes de colaboración entre emprendedores, facilitando el</t>
  </si>
  <si>
    <t>Relacionamiento con Comunidades Indígenas</t>
  </si>
  <si>
    <t>COMUNIDADES INDÍGENAS</t>
  </si>
  <si>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t>
  </si>
  <si>
    <t>1- Realizar encuentros de socialización de avances de Paracel y los programas socioambientales en las comunidades indígenas dentro del AID.
2- Convenir con las comunidades indígenas el cumplimiento del proceso de “Consulta y Consentimiento, Libre, Previo e Informado” (CCLPI), conforme al Decreto 103</t>
  </si>
  <si>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</si>
  <si>
    <t>Procesos de CPLI realizados</t>
  </si>
  <si>
    <t>Activar el proceso de CCPLI para todas las comunidades del AID de Paracel incluyendo zonas nuevas de expansión forestal.</t>
  </si>
  <si>
    <t>3.896</t>
  </si>
  <si>
    <t>Jun, Nov</t>
  </si>
  <si>
    <t>Establecer y mantener una relación continua con los Pueblos Indígenas fomentando el pleno respeto a los derechos humanos, dignidad, aspiraciones, cultura y medios de subsistencia dependientes de los r</t>
  </si>
  <si>
    <t>El programa de Relacionamiento con Comunidades Indígenas tiene el siguiente alcance: DEFINICIONES Área de Influencia Directa (AID) del componente indígena:  está compuesta por las comunidades indígena</t>
  </si>
  <si>
    <t>Desarrollo un plan de uso de servicios ecosistémicos con las comunidades indígenas que hacen uso de estos dentro de propiedades de Paracel.</t>
  </si>
  <si>
    <t>1. Desarrollo de Plan de uso de servicios ecosistemicos
2. Socializacion del Plan de Uso de Servicios con los lideres y lideresas de las comunidades indígenas
3. Socialización del Plan de Uso de Servicios ecosistémicos con la comunidades indígenas
4. Evaluacion y seguimiento</t>
  </si>
  <si>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</si>
  <si>
    <t>- Base de datos de uso de serivios ecosistémicos actualizados.
- Mapas actualizados de uso de servicios ecosistémicos.
- Planes de manejo de servicios ecosistémicos</t>
  </si>
  <si>
    <t>Informe de plan de manejo de uso de servicios ecosistémicos de tres comunidades indígenas.</t>
  </si>
  <si>
    <t>Ago, Sep, Oct, Nov, Dic</t>
  </si>
  <si>
    <t>Mantener la vinculación con las comunidades Ita Jeguaka, Cerro Akangue y Arroyo Ka’a a través de actividades específicas coordinadas con lideres comunitarios.</t>
  </si>
  <si>
    <t>1. Mantener comunicación con líderes comunitarios.
2. Coordinar la participación de líderes y/o lideresas en las actividades abiertas (capacitaciones, espacios de vinculación con entidades estatales, etc.) desarrolladas por Paracel.
3. Invitar y monitorear la participación de miembros de estás comun</t>
  </si>
  <si>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</si>
  <si>
    <t>- Materiales de comunicación desarrollados.
 - Reuniones desarrolladas.
 - Informe de vinculación</t>
  </si>
  <si>
    <t>Matener la vinculación con las comunidades Ita Jeguaka, Cerro Akangue y Arroyo Ka’a</t>
  </si>
  <si>
    <t>2.727</t>
  </si>
  <si>
    <t>Jul, Oct, Nov</t>
  </si>
  <si>
    <t>Desarrollar jornadas de gestión documental vinculados a la identidad de los miembros de comunidades indígenas (cédulas de identidad, carnet indígena, partidas de nacimiento, inscripciones en el Registro Civil), etc.</t>
  </si>
  <si>
    <t>1- Planificar las jornadas de cedulación con las instituciones del estado y las comunidades.
 2- Activar las jornadas de cedulación.
 3- Reporte del proceso.</t>
  </si>
  <si>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</si>
  <si>
    <t>- Cédulas entregadas a los miembros de las comunidades.</t>
  </si>
  <si>
    <t>- Personas de comunidades indígenas con registro de identidad (por primera vez).
 - Personas con cédula de identidad renovadas.</t>
  </si>
  <si>
    <t>6.753</t>
  </si>
  <si>
    <t>Apoyar a la seguridad alimentaria escolar en comunidades del AID.</t>
  </si>
  <si>
    <t>1. Analizar el alcance actual de programas de gobierno para provision de alimento escolar
2. Monitorear la entrega de alimento escolar complementaria
3. Proveer alimento complementario según resultados del análisis desarrollado
4. Encuesta respecto a la provisión de alimentos</t>
  </si>
  <si>
    <t>A01 - Instituciones alcanzadas (distrito y tipo de comunidad).
A02 - Número de niños alcanzados según RUE.
A03 - Número de niños alcanzados (real).
A04 - Kg de alimentos entregados.
A05 - Proporción de alimentos por tipo.
Datos desagregados por sexo, edad y grado.</t>
  </si>
  <si>
    <t>- Informe de alcance de programas de gobierno para provisión de alimento escolar
  - Informe de entrega de almuerzo escolar</t>
  </si>
  <si>
    <t>- Estudiantes de escuelas con provisión de alimentos complementarios</t>
  </si>
  <si>
    <t>15.909</t>
  </si>
  <si>
    <t>Feb, Mar, Abr, May, Jun, Jul, Ago, Sep, Oct, Nov</t>
  </si>
  <si>
    <t>Apoyar a referentes de comunidades indígenas en el relacionamiento con instituciones del estado a fin de autogestionar los temas relacionados a su organización comunitaria o política (identidad, vivienda, salud, educación, etc.).</t>
  </si>
  <si>
    <t>1. Analisis y registro de solicitudes.
2. Gestión de apoyo a solicitudes ingresadas.
3. Informe de gestiones realizadas.</t>
  </si>
  <si>
    <t>A01 - Número de gestiones clasificadas por documentación de identidad, documentación comunitaria, salud, seguridad, acceso a servicios básicos, etc.
 A02 - Número de instituciones (desagregadas).
 A03 - Valor invertido.</t>
  </si>
  <si>
    <t>Informe de relacionamiento institucional</t>
  </si>
  <si>
    <t>Autogestión comunitaria reflejada en número de trámites o procesos ejecutados con instituciones.</t>
  </si>
  <si>
    <t>5.065</t>
  </si>
  <si>
    <t>03. INDICADORES NORMALIZADOS</t>
  </si>
  <si>
    <t>Cada indicador se descompone en una fila para facilitar filtrado, conteo, clasificación y explotación analítica.</t>
  </si>
  <si>
    <t>ID INDICADOR</t>
  </si>
  <si>
    <t>FICHA</t>
  </si>
  <si>
    <t>TARGET</t>
  </si>
  <si>
    <t>ORDEN</t>
  </si>
  <si>
    <t>INDICADOR INDIVIDUAL</t>
  </si>
  <si>
    <t>TIPO</t>
  </si>
  <si>
    <t>ORIGEN</t>
  </si>
  <si>
    <t>PR-SS-MDO-Target 2-01</t>
  </si>
  <si>
    <t>Target 2</t>
  </si>
  <si>
    <t>Indicadores socioeconómicos.</t>
  </si>
  <si>
    <t>Mixto / descriptivo</t>
  </si>
  <si>
    <t>PR-SS-MDO-Target 2-02</t>
  </si>
  <si>
    <t>Número de personas beneficiadas clasificadas por edad, sexo, comunidad, etnía.</t>
  </si>
  <si>
    <t>Conteo</t>
  </si>
  <si>
    <t>PR-SS-MDO-Target 2-03</t>
  </si>
  <si>
    <t>Nivel academico alcanzado por los padres/tutores</t>
  </si>
  <si>
    <t>PR-SS-MDO-Target 2-04</t>
  </si>
  <si>
    <t>hermanos/as mayores.</t>
  </si>
  <si>
    <t>PR-SS-MDO-Target 2-05</t>
  </si>
  <si>
    <t>Número de instituciones alidas y especialidades.</t>
  </si>
  <si>
    <t>PR-SS-MDO-Target 2-06</t>
  </si>
  <si>
    <t>Inversión mensual (seguimiento del presupuesto).</t>
  </si>
  <si>
    <t>Presupuesto</t>
  </si>
  <si>
    <t>PR-SS-MDO-Target 2-07</t>
  </si>
  <si>
    <t>Horas al mes destinada por parte de padrinos/madrinas en el acompañamiento de las personas.</t>
  </si>
  <si>
    <t>PR-SS-MDO-Target 2-08</t>
  </si>
  <si>
    <t>Reporte de calificaciones por período académico y por estudiante.</t>
  </si>
  <si>
    <t>Evidencia</t>
  </si>
  <si>
    <t>PR-SS-MDO-Target 1-01</t>
  </si>
  <si>
    <t>Target 1</t>
  </si>
  <si>
    <t>Indicadores de Educación</t>
  </si>
  <si>
    <t>PR-SS-MDO-Target 1-02</t>
  </si>
  <si>
    <t>Indicadores de Empleo</t>
  </si>
  <si>
    <t>PR-SS-EMU-Target 1-01</t>
  </si>
  <si>
    <t>Número de personas alcanzadas clasificadas sexo, edad, etnia, comunidad, institución, etc.</t>
  </si>
  <si>
    <t>PR-SS-EMU-Target 1-02</t>
  </si>
  <si>
    <t>N° de materiales desarrollados y difundidos.</t>
  </si>
  <si>
    <t>PR-SS-EMU-Target 2-01</t>
  </si>
  <si>
    <t>Número de personas que participaron de los espacios desagregadas por sexo, edad, etnia, organización, etc.</t>
  </si>
  <si>
    <t>PR-SS-EMU-Target 2-02</t>
  </si>
  <si>
    <t>Número de horas de los espacios.</t>
  </si>
  <si>
    <t>PR-SS-EMU-Target 2-03</t>
  </si>
  <si>
    <t>Número de espacios propociados.</t>
  </si>
  <si>
    <t>PR-SS-EMU-Target 2-04</t>
  </si>
  <si>
    <t>Número de temas abordados.</t>
  </si>
  <si>
    <t>PR-SS-EMU-Target 2-05</t>
  </si>
  <si>
    <t>Número de personas invitadas.</t>
  </si>
  <si>
    <t>PR-SS-EMU-Target 2-06</t>
  </si>
  <si>
    <t>Número de personas vinculadas al proyecto externas a Paracel (por actividad).</t>
  </si>
  <si>
    <t>PR-SS-EMU-Target 2-07</t>
  </si>
  <si>
    <t>Inversión.</t>
  </si>
  <si>
    <t>PR-SS-EMU-Target 2-08</t>
  </si>
  <si>
    <t>Conocimiento de las personas antes y despues de la participación de los espacios.</t>
  </si>
  <si>
    <t>Resultado</t>
  </si>
  <si>
    <t>PR-SS-CON-Target 1-01</t>
  </si>
  <si>
    <t>Número de empresas auditadas.</t>
  </si>
  <si>
    <t>PR-SS-CON-Target 1-02</t>
  </si>
  <si>
    <t>Proporción de empresas auditadas con relación al número total de empresas.</t>
  </si>
  <si>
    <t>Porcentaje</t>
  </si>
  <si>
    <t>PR-SS-CON-Target 1-03</t>
  </si>
  <si>
    <t>Número total de hallazgos.</t>
  </si>
  <si>
    <t>PR-SS-CON-Target 1-04</t>
  </si>
  <si>
    <t>Número total de observaciones y oportunidades de mejora.</t>
  </si>
  <si>
    <t>PR-SS-CON-Target 1-05</t>
  </si>
  <si>
    <t>Porcentaje de cierre de los hallazgos y de manera general.</t>
  </si>
  <si>
    <t>PR-SS-CON-Target 1-06</t>
  </si>
  <si>
    <t>Porcentaje de cumplimiento de plazos de cierre de los hallazgos y de manera general.</t>
  </si>
  <si>
    <t>PR-SS-CON-Target 1-07</t>
  </si>
  <si>
    <t>Cantidad de acompañamientos.</t>
  </si>
  <si>
    <t>PR-SS-CON-Target 2-01</t>
  </si>
  <si>
    <t>Número de personas participantes clasificados por organización, cargo, rango etario, sexo, comunidad, etnia.</t>
  </si>
  <si>
    <t>PR-SS-CON-Target 2-02</t>
  </si>
  <si>
    <t>Número de horas de capacitación.</t>
  </si>
  <si>
    <t>PR-SS-CON-Target 2-03</t>
  </si>
  <si>
    <t>Número de temas desarrollados.</t>
  </si>
  <si>
    <t>PR-SS-CON-Target 2-04</t>
  </si>
  <si>
    <t>Datos sobre conocimiento del tema antes de iniciar los talleres y conocimientos adquiridos posterior a los talleres.</t>
  </si>
  <si>
    <t>PR-SS-CON-Target 2-05</t>
  </si>
  <si>
    <t>Porcentaje de participación con relación al número total de empresas y trabajadores/as.</t>
  </si>
  <si>
    <t>PR-SS-CON-Target 2-06</t>
  </si>
  <si>
    <t>Porcentaje de uso del presupuesto de manera mensual.</t>
  </si>
  <si>
    <t>PR-SS-SSC-Target 1 (Asistencia médica)-01</t>
  </si>
  <si>
    <t>Target 1 (Asistencia médica)</t>
  </si>
  <si>
    <t>Número de alianzas firmadas.</t>
  </si>
  <si>
    <t>PR-SS-SSC-Target 1 (Asistencia médica)-02</t>
  </si>
  <si>
    <t>Número de personas que participaron de las asistencia desagregadas por sexo, edad, etnia, comunidad, etc.</t>
  </si>
  <si>
    <t>PR-SS-SSC-Target 1 (Asistencia médica)-03</t>
  </si>
  <si>
    <t>Número de USF intervenidas.</t>
  </si>
  <si>
    <t>PR-SS-SSC-Target 1 (Asistencia médica)-04</t>
  </si>
  <si>
    <t>Número de especialidades médicas por asistencia.</t>
  </si>
  <si>
    <t>PR-SS-SSC-Target 1 (Asistencia médica)-05</t>
  </si>
  <si>
    <t>Número de personas vinculadas al programa externas a Paracel (por actividad).</t>
  </si>
  <si>
    <t>PR-SS-SSC-Target 1 (Asistencia médica)-06</t>
  </si>
  <si>
    <t>Monto de inversión directa o indirecta por parte de las organizaciones aliadas (por actividad).</t>
  </si>
  <si>
    <t>PR-SS-SSC-Target 1 (Asistencia médica)-07</t>
  </si>
  <si>
    <t>Porcentaje de uso del presupuesto mensual.</t>
  </si>
  <si>
    <t>PR-SS-SSC-Target 2 (PANI | PAI)-01</t>
  </si>
  <si>
    <t>Target 2 (PANI | PAI)</t>
  </si>
  <si>
    <t>PR-SS-SSC-Target 2 (PANI | PAI)-02</t>
  </si>
  <si>
    <t>Número de personas alcanzadas en la distribución de leche desagregadas por sexo, edad, etnia, comunidad, etc.</t>
  </si>
  <si>
    <t>PR-SS-SSC-Target 2 (PANI | PAI)-03</t>
  </si>
  <si>
    <t>Número de personas alcanzadas en jornadas de inmunización.</t>
  </si>
  <si>
    <t>PR-SS-SSC-Target 2 (PANI | PAI)-04</t>
  </si>
  <si>
    <t>PR-SS-SSC-Target 2 (PANI | PAI)-05</t>
  </si>
  <si>
    <t>PR-SS-SSC-Target 2 (PANI | PAI)-06</t>
  </si>
  <si>
    <t>PR-SS-SSC-Target 2 (PANI | PAI)-07</t>
  </si>
  <si>
    <t>PR-SS-SSC-Target 3 (Salud Sexual)-01</t>
  </si>
  <si>
    <t>Target 3 (Salud Sexual)</t>
  </si>
  <si>
    <t>Número de alianzas generadas.</t>
  </si>
  <si>
    <t>PR-SS-SSC-Target 3 (Salud Sexual)-02</t>
  </si>
  <si>
    <t>Número comunidades abordadas.</t>
  </si>
  <si>
    <t>PR-SS-SSC-Target 3 (Salud Sexual)-03</t>
  </si>
  <si>
    <t>Número de personas beneficiadas desagregadas por sexo, edad, etnia, comunidad, etc.</t>
  </si>
  <si>
    <t>PR-SS-SSC-Target 3 (Salud Sexual)-04</t>
  </si>
  <si>
    <t>PR-SS-SSC-Target 3 (Salud Sexual)-05</t>
  </si>
  <si>
    <t>PR-SS-SSC-Target 3 (Salud Sexual)-06</t>
  </si>
  <si>
    <t>PR-SS-SSC-Target 3 (Salud Sexual)-07</t>
  </si>
  <si>
    <t>Número de testeos realizados.</t>
  </si>
  <si>
    <t>PR-SS-SSC-Target 3 (Salud Sexual)-08</t>
  </si>
  <si>
    <t>Número de colaboradores/as de empresas contratistas abordados/as.</t>
  </si>
  <si>
    <t>PR-SS-SSC-Target 4 (MINNA)-01</t>
  </si>
  <si>
    <t>Target 4 (MINNA)</t>
  </si>
  <si>
    <t>Número de personas formadas como facilitadoras.</t>
  </si>
  <si>
    <t>PR-SS-SSC-Target 4 (MINNA)-02</t>
  </si>
  <si>
    <t>Número de instituciones representadas.</t>
  </si>
  <si>
    <t>PR-SS-SSC-Target 4 (MINNA)-03</t>
  </si>
  <si>
    <t>Número de personas alcanzadas en espacios de sensibilización clasificadas por edad y sexo.</t>
  </si>
  <si>
    <t>PR-SS-SSC-Target 4 (MINNA)-04</t>
  </si>
  <si>
    <t>Número de materiales entregados.</t>
  </si>
  <si>
    <t>PR-SS-MSC-Target 1-01</t>
  </si>
  <si>
    <t>Número de personas participantes por comunidad clasificadas, por edad, sexo, franja etaria, comunidad, etnia.</t>
  </si>
  <si>
    <t>PR-SS-MSC-Target 1-02</t>
  </si>
  <si>
    <t>Índice de percepción.</t>
  </si>
  <si>
    <t>PR-SS-MSC-Target 1-03</t>
  </si>
  <si>
    <t>Datos sobre migración</t>
  </si>
  <si>
    <t>PR-SS-MSC-Target 1-04</t>
  </si>
  <si>
    <t>Materiales desarrollados.</t>
  </si>
  <si>
    <t>PR-SS-MSC-Target 1-05</t>
  </si>
  <si>
    <t>Número de personas de las diferentes áreas de Paracel participantes.</t>
  </si>
  <si>
    <t>PR-SS-MSC-Target 2-01</t>
  </si>
  <si>
    <t>PR-SS-MSC-Target 2-02</t>
  </si>
  <si>
    <t>PR-SS-MSC-Target 2-03</t>
  </si>
  <si>
    <t>PR-SS-MSC-Target 2-04</t>
  </si>
  <si>
    <t>PR-SS-PCS-Target 1.1.-01</t>
  </si>
  <si>
    <t>Target 1.1.</t>
  </si>
  <si>
    <t>Número de personas participantes por comunidad y/u otros grupos de interés, clasificadas por edad, sexo, franja etaria, comunidad, etnia.</t>
  </si>
  <si>
    <t>PR-SS-PCS-Target 1.1.-02</t>
  </si>
  <si>
    <t>Porcentaje de conocimientos adquiridos.</t>
  </si>
  <si>
    <t>PR-SS-PCS-Target 1.1.-03</t>
  </si>
  <si>
    <t>Número de consultor y/o aliados involucrados.</t>
  </si>
  <si>
    <t>PR-SS-PCS-Target 1.1.-04</t>
  </si>
  <si>
    <t>Número de actividades desarrolladas clasificadas por comunidad (área geográfica).</t>
  </si>
  <si>
    <t>PR-SS-PCS-Target 1.1.-05</t>
  </si>
  <si>
    <t>Horas de capacitación y sensibilización impartidas.</t>
  </si>
  <si>
    <t>PR-SS-PCS-Target 1.1.-06</t>
  </si>
  <si>
    <t>N° de talleres rurales participativos desarrollados y cantidad de personas participantes clasificadas por edad, sexo, franja etaria, etc.</t>
  </si>
  <si>
    <t>PR-SS-PCS-Target 1.1.-07</t>
  </si>
  <si>
    <t>N° de temas claves resultantes del taller.</t>
  </si>
  <si>
    <t>PR-SS-PCS-Target 1.2.-01</t>
  </si>
  <si>
    <t>Target 1.2.</t>
  </si>
  <si>
    <t>N° de talleres realizados.</t>
  </si>
  <si>
    <t>PR-SS-PCS-Target 1.2.-02</t>
  </si>
  <si>
    <t>N° de personas participantes.</t>
  </si>
  <si>
    <t>PR-SS-PCS-Target 1.2.-03</t>
  </si>
  <si>
    <t>N° de personas que conforman la brigada.</t>
  </si>
  <si>
    <t>PR-SS-PCS-Target 1.2.-04</t>
  </si>
  <si>
    <t>N° de personas entrenadas.</t>
  </si>
  <si>
    <t>PR-SS-PCS-Target 1.2.-05</t>
  </si>
  <si>
    <t>N° de reuniones y acuerdos realizados.</t>
  </si>
  <si>
    <t>PR-SS-AAE-Target 1-01</t>
  </si>
  <si>
    <t>N° de propiedades a ser utilizadas como servidumbre de paso</t>
  </si>
  <si>
    <t>PR-SS-AAE-Target 1-02</t>
  </si>
  <si>
    <t>N° de documentos elaborados</t>
  </si>
  <si>
    <t>PR-SS-AAE-Target 1-03</t>
  </si>
  <si>
    <t>N° de comunicados elaborados</t>
  </si>
  <si>
    <t>PR-SS-AAE-Target 1-04</t>
  </si>
  <si>
    <t>N° de comunicados emitidos</t>
  </si>
  <si>
    <t>PR-SS-AAE-Target 1-05</t>
  </si>
  <si>
    <t>N° de reuniones</t>
  </si>
  <si>
    <t>PR-SS-AAE-Target 1-06</t>
  </si>
  <si>
    <t>N° de personas participantes</t>
  </si>
  <si>
    <t>PR-SS-AAE-Target 1-07</t>
  </si>
  <si>
    <t>N° de acuerdos firmados</t>
  </si>
  <si>
    <t>PR-SS-AAE-Target 2-01</t>
  </si>
  <si>
    <t>N° de personas trabajando en el área de seguridad y control de acceso (clasificadas, edad, sexo, comunidad, etnia, región, etc.).</t>
  </si>
  <si>
    <t>PR-SS-AAE-Target 2-02</t>
  </si>
  <si>
    <t>N° de personas formadas en materia de Derechos Humanos clasificados por edad, sexo, empresa, carga horaria, temas.</t>
  </si>
  <si>
    <t>PR-SS-AAE-Target 2-03</t>
  </si>
  <si>
    <t>N° de verificaciones realizadas en campo clasificadas por empresas.</t>
  </si>
  <si>
    <t>PR-SS-AAE-Target 2-04</t>
  </si>
  <si>
    <t>N° de hallazgos en las verificaciones de campo.</t>
  </si>
  <si>
    <t>PR-SS-AAE-Target 2-05</t>
  </si>
  <si>
    <t>N° de cierre de hallazgos resultantes de las verificaciones en campo.</t>
  </si>
  <si>
    <t>PR-SS-QRI-Target 1-01</t>
  </si>
  <si>
    <t>Número de quejas, consultas y sugerencias clasificadas por tipo y origen interno (nómina) y externo (contratistas y comunidad).</t>
  </si>
  <si>
    <t>PR-SS-QRI-Target 1-02</t>
  </si>
  <si>
    <t>Número de actividades/acciones de socialización.</t>
  </si>
  <si>
    <t>PR-SS-QRI-Target 1-03</t>
  </si>
  <si>
    <t>Número de personas alcanzadas en medios digitales en procesos de socialización.</t>
  </si>
  <si>
    <t>PR-SS-QRI-Target 1-04</t>
  </si>
  <si>
    <t>Número de capacitaciones realizadas, número de personas alcanzadas clasificadas por edad, sexo, comunidad, etnia, empresa.</t>
  </si>
  <si>
    <t>PR-SS-QRI-Target 1-05</t>
  </si>
  <si>
    <t>Horas de capacitación.</t>
  </si>
  <si>
    <t>PR-SS-QRI-Target 1-06</t>
  </si>
  <si>
    <t>Número de quejas relacionadas al Código de Ética clasificadas por origen.</t>
  </si>
  <si>
    <t>PR-SS-QRI-Target 1-07</t>
  </si>
  <si>
    <t>Porcentaje de procesos cerrados.</t>
  </si>
  <si>
    <t>PR-SS-QRI-Target 1-08</t>
  </si>
  <si>
    <t>PR-SS-QRI-Target 1-09</t>
  </si>
  <si>
    <t>Porcentaje de satifacción con el canal (proceso).</t>
  </si>
  <si>
    <t>PR-SS-QRI-Target 2-01</t>
  </si>
  <si>
    <t>Número de buzones instalados en las comunidades e instalaciones de Paracel.</t>
  </si>
  <si>
    <t>PR-SS-QRI-Target 2-02</t>
  </si>
  <si>
    <t>Número de quejas, consultas y sugerencias recibidas en cada buzón, clasificadas por tipo y zona geográfica.</t>
  </si>
  <si>
    <t>PR-SS-QRI-Target 2-03</t>
  </si>
  <si>
    <t>Número de procesos cerrados.</t>
  </si>
  <si>
    <t>PR-SS-QRI-Target 2-04</t>
  </si>
  <si>
    <t>Número de comunicaciones realizadas para la difusión de los buzones de quejas, consultas y sugerencias.</t>
  </si>
  <si>
    <t>PR-SS-QRI-Target 2-05</t>
  </si>
  <si>
    <t>PR-SS-QRI-Target 2-06</t>
  </si>
  <si>
    <t>Número de visitas realizadas.</t>
  </si>
  <si>
    <t>PR-SS-QRI-Target 2-07</t>
  </si>
  <si>
    <t>Número de quejas, consultas, sugerencias registradas.</t>
  </si>
  <si>
    <t>PR-SS-QRI-Target 2-08</t>
  </si>
  <si>
    <t>Número de comunidades visitadas.</t>
  </si>
  <si>
    <t>PR-SS-PCU-Target 1: Monitoreo de la aplicación del Protocolo de Hallazgos Fortuitos por parte de empresas contratistas de Paracel-01</t>
  </si>
  <si>
    <t>Target 1: Monitoreo de la aplicación del Protocolo de Hallazgos Fortuitos por parte de empresas contratistas de Paracel</t>
  </si>
  <si>
    <t>N.º de visitas de monitoreo realizadas en campo.</t>
  </si>
  <si>
    <t>PR-SS-PCU-Target 1: Monitoreo de la aplicación del Protocolo de Hallazgos Fortuitos por parte de empresas contratistas de Paracel-02</t>
  </si>
  <si>
    <t>N.º de empresas contratistas alcanzadas.</t>
  </si>
  <si>
    <t>PR-SS-PCU-Target 1: Monitoreo de la aplicación del Protocolo de Hallazgos Fortuitos por parte de empresas contratistas de Paracel-03</t>
  </si>
  <si>
    <t>N.º de colaboradores/as alcanzados/as.</t>
  </si>
  <si>
    <t>PR-SS-PCU-Target 1: Monitoreo de la aplicación del Protocolo de Hallazgos Fortuitos por parte de empresas contratistas de Paracel-04</t>
  </si>
  <si>
    <t>N.º de personas referentes identificadas y registradas para el reporte de hallazgos.</t>
  </si>
  <si>
    <t>PR-SS-PCU-Target 1: Monitoreo de la aplicación del Protocolo de Hallazgos Fortuitos por parte de empresas contratistas de Paracel-05</t>
  </si>
  <si>
    <t>N.º de reportes de hallazgos generados.</t>
  </si>
  <si>
    <t>PR-SS-PCU-Target 2: Rescate y Comercialización de Artesanías-01</t>
  </si>
  <si>
    <t>Target 2: Rescate y Comercialización de Artesanías</t>
  </si>
  <si>
    <t>N.º de ferias y/o exposiciones en las que se participó</t>
  </si>
  <si>
    <t>PR-SS-PCU-Target 2: Rescate y Comercialización de Artesanías-02</t>
  </si>
  <si>
    <t>N.º de emprendedores/as participantes por evento</t>
  </si>
  <si>
    <t>PR-SS-PCU-Target 2: Rescate y Comercialización de Artesanías-03</t>
  </si>
  <si>
    <t>Volumen de ventas alcanzado por feria/exposición</t>
  </si>
  <si>
    <t>PR-SS-PCU-Target 2: Rescate y Comercialización de Artesanías-04</t>
  </si>
  <si>
    <t>N.º de catálogos de artesanías creados y distribuidos</t>
  </si>
  <si>
    <t>PR-SS-PCU-Target 2: Rescate y Comercialización de Artesanías-05</t>
  </si>
  <si>
    <t>N.º de productos artesanales incluidos en el catálogo</t>
  </si>
  <si>
    <t>PR-SS-PCU-Target 2: Rescate y Comercialización de Artesanías-06</t>
  </si>
  <si>
    <t>N.º de asistencias logísticas brindadas para traslado de materia prima</t>
  </si>
  <si>
    <t>PR-SS-PCU-Target 2: Rescate y Comercialización de Artesanías-07</t>
  </si>
  <si>
    <t>Costo logístico total asumido</t>
  </si>
  <si>
    <t>PR-SS-PCU-Target 2: Rescate y Comercialización de Artesanías-08</t>
  </si>
  <si>
    <t>N.º de puntos de venta identificados y/o habilitados</t>
  </si>
  <si>
    <t>PR-SS-PDP-Target 1: Fortalecer la profesionalización y formalización de pescadores-01</t>
  </si>
  <si>
    <t>Target 1: Fortalecer la profesionalización y formalización de pescadores</t>
  </si>
  <si>
    <t>N° de asociaciones de pescadores beneficiadas</t>
  </si>
  <si>
    <t>PR-SS-PDP-Target 1: Fortalecer la profesionalización y formalización de pescadores-02</t>
  </si>
  <si>
    <t>N° de pescadores/as beneficiados/as, clasificados por edad, sexo, barrio y etnia</t>
  </si>
  <si>
    <t>PR-SS-PDP-Target 1: Fortalecer la profesionalización y formalización de pescadores-03</t>
  </si>
  <si>
    <t>N° de capacitación realizadas por asociación</t>
  </si>
  <si>
    <t>PR-SS-PDP-Target 1: Fortalecer la profesionalización y formalización de pescadores-04</t>
  </si>
  <si>
    <t>N° de participantes en cada taller, clasificados por edad, sexo, barrio, localidad, asociación, etnia</t>
  </si>
  <si>
    <t>PR-SS-PDP-Target 1: Fortalecer la profesionalización y formalización de pescadores-05</t>
  </si>
  <si>
    <t>% del nivel de conocimientos adquiridos</t>
  </si>
  <si>
    <t>PR-SS-PDP-Target 1: Fortalecer la profesionalización y formalización de pescadores-06</t>
  </si>
  <si>
    <t>N° de acuerdos firmados con instituciones y/o organizaciones claves</t>
  </si>
  <si>
    <t>PR-SS-PDP-Target 1: Fortalecer la profesionalización y formalización de pescadores-07</t>
  </si>
  <si>
    <t>% de incremento en ventas de productos pesqueros</t>
  </si>
  <si>
    <t>PR-SS-PDP-Target 1: Fortalecer la profesionalización y formalización de pescadores-08</t>
  </si>
  <si>
    <t>N° de asociaciones participantes en jornada de formalización con el MADES</t>
  </si>
  <si>
    <t>PR-SS-PDP-Target 1: Fortalecer la profesionalización y formalización de pescadores-09</t>
  </si>
  <si>
    <t>N° de pescadores/as formalizados/as, clasificados por asociación</t>
  </si>
  <si>
    <t>PR-SS-PDP-Target 1: Fortalecer la profesionalización y formalización de pescadores-10</t>
  </si>
  <si>
    <t>N° de empresas consultoras contratadas (Clasificados por edad, sexo, distrito, departamento)</t>
  </si>
  <si>
    <t>PR-SS-PDP-Target 1: Fortalecer la profesionalización y formalización de pescadores-11</t>
  </si>
  <si>
    <t>Valor de inversión en guaraníes por Paracel y organizaciones aliadas</t>
  </si>
  <si>
    <t>PR-SS-PDP-Target 1: Fortalecer la profesionalización y formalización de pescadores-12</t>
  </si>
  <si>
    <t>N° de puntos de venta evaluados y diagnosticados</t>
  </si>
  <si>
    <t>PR-SS-PDP-Target 1: Fortalecer la profesionalización y formalización de pescadores-13</t>
  </si>
  <si>
    <t>Cantidad de alianzas estratégicas formalizadas</t>
  </si>
  <si>
    <t>PR-SS-PDP-Target 1: Fortalecer la profesionalización y formalización de pescadores-14</t>
  </si>
  <si>
    <t>N° de intervenciones ejecutadas en infraestructura y logística</t>
  </si>
  <si>
    <t>PR-SS-PDP-Target 1: Fortalecer la profesionalización y formalización de pescadores-15</t>
  </si>
  <si>
    <t>Cantidad de equipamientos entregados a puntos de venta</t>
  </si>
  <si>
    <t>PR-SS-PDP-Target 1: Fortalecer la profesionalización y formalización de pescadores-16</t>
  </si>
  <si>
    <t>Medición del impacto en ventas</t>
  </si>
  <si>
    <t>PR-SS-PDP-Target 1: Fortalecer la profesionalización y formalización de pescadores-17</t>
  </si>
  <si>
    <t>N° de asociaciones identificadas y evaluadas</t>
  </si>
  <si>
    <t>PR-SS-PDP-Target 1: Fortalecer la profesionalización y formalización de pescadores-18</t>
  </si>
  <si>
    <t>Cantidad de documentos tramitados para la formalización</t>
  </si>
  <si>
    <t>PR-SS-PDP-Target 1: Fortalecer la profesionalización y formalización de pescadores-19</t>
  </si>
  <si>
    <t>N° de asociaciones con personería jurídica obtenida</t>
  </si>
  <si>
    <t>PR-SS-PDP-Target 1: Fortalecer la profesionalización y formalización de pescadores-20</t>
  </si>
  <si>
    <t>% de asociaciones formalizadas con éxito</t>
  </si>
  <si>
    <t>PR-SS-PDP-Target 1 Implementar el Programa Ñañoty, de fomento forestal dirigido a [pequeños/as productores/as], situados en un radio de 50 km alrededor de algún emprendimiento (forestal e industrial) de Paracel.-01</t>
  </si>
  <si>
    <t>Target 1 Implementar el Programa Ñañoty, de fomento forestal dirigido a [pequeños/as productores/as], situados en un radio de 50 km alrededor de algún emprendimiento (forestal e industrial) de Paracel.</t>
  </si>
  <si>
    <t>Número de plantines donados/entregados como capital semilla.</t>
  </si>
  <si>
    <t>PR-SS-PDP-Target 1 Implementar el Programa Ñañoty, de fomento forestal dirigido a [pequeños/as productores/as], situados en un radio de 50 km alrededor de algún emprendimiento (forestal e industrial) de Paracel.-02</t>
  </si>
  <si>
    <t>Número de alianzas alcanzadas.</t>
  </si>
  <si>
    <t>PR-SS-PDP-Target 1 Implementar el Programa Ñañoty, de fomento forestal dirigido a [pequeños/as productores/as], situados en un radio de 50 km alrededor de algún emprendimiento (forestal e industrial) de Paracel.-03</t>
  </si>
  <si>
    <t>PR-SS-PDP-Target 1 Implementar el Programa Ñañoty, de fomento forestal dirigido a [pequeños/as productores/as], situados en un radio de 50 km alrededor de algún emprendimiento (forestal e industrial) de Paracel.-04</t>
  </si>
  <si>
    <t>PR-SS-PDP-Target 1 Implementar el Programa Ñañoty, de fomento forestal dirigido a [pequeños/as productores/as], situados en un radio de 50 km alrededor de algún emprendimiento (forestal e industrial) de Paracel.-05</t>
  </si>
  <si>
    <t>Número de contratos firmados con las personas participantes del proyecto.</t>
  </si>
  <si>
    <t>PR-SS-PDP-Target 1 Implementar el Programa Ñañoty, de fomento forestal dirigido a [pequeños/as productores/as], situados en un radio de 50 km alrededor de algún emprendimiento (forestal e industrial) de Paracel.-06</t>
  </si>
  <si>
    <t>Cantidad de insumos, equipos y herramientas entregados (también en guaraníes).</t>
  </si>
  <si>
    <t>PR-SS-PDP-Target 1 Implementar el Programa Ñañoty, de fomento forestal dirigido a [pequeños/as productores/as], situados en un radio de 50 km alrededor de algún emprendimiento (forestal e industrial) de Paracel.-07</t>
  </si>
  <si>
    <t>Cantidad de horas de asesoramiento técnico destinadas a cada beneficiario/a (visitas).</t>
  </si>
  <si>
    <t>PR-SS-PDP-Target 1 Implementar el Programa Ñañoty, de fomento forestal dirigido a [pequeños/as productores/as], situados en un radio de 50 km alrededor de algún emprendimiento (forestal e industrial) de Paracel.-08</t>
  </si>
  <si>
    <t>Cantidad de asesoramiento técnico a través de visitas destinadas a cada beneficiario/a.</t>
  </si>
  <si>
    <t>PR-SS-PDP-Target 1 Implementar el Programa Ñañoty, de fomento forestal dirigido a [pequeños/as productores/as], situados en un radio de 50 km alrededor de algún emprendimiento (forestal e industrial) de Paracel.-09</t>
  </si>
  <si>
    <t>Cantidad de horas de capacitación destinada a cada beneficiario/a.</t>
  </si>
  <si>
    <t>PR-SS-PDP-Target 1 Implementar el Programa Ñañoty, de fomento forestal dirigido a [pequeños/as productores/as], situados en un radio de 50 km alrededor de algún emprendimiento (forestal e industrial) de Paracel.-10</t>
  </si>
  <si>
    <t>Número de servicios alcanzados con el proyecto (también en guaraníes</t>
  </si>
  <si>
    <t>PR-SS-PDP-Target 1 Implementar el Programa Ñañoty, de fomento forestal dirigido a [pequeños/as productores/as], situados en un radio de 50 km alrededor de algún emprendimiento (forestal e industrial) de Paracel.-11</t>
  </si>
  <si>
    <t>mano de obra, flete, traslado, maquinaria).</t>
  </si>
  <si>
    <t>PR-SS-PDP-Target 1 Implementar el Programa Ñañoty, de fomento forestal dirigido a [pequeños/as productores/as], situados en un radio de 50 km alrededor de algún emprendimiento (forestal e industrial) de Paracel.-12</t>
  </si>
  <si>
    <t>PR-SS-PDP-Target 1 Implementar el Programa Ñañoty, de fomento forestal dirigido a [pequeños/as productores/as], situados en un radio de 50 km alrededor de algún emprendimiento (forestal e industrial) de Paracel.-13</t>
  </si>
  <si>
    <t>Número de mano de obra contratada clasificada por región (local, departamental, nacional).</t>
  </si>
  <si>
    <t>PR-SS-PDP-Target 1 Implementar el Programa Ñañoty, de fomento forestal dirigido a [pequeños/as productores/as], situados en un radio de 50 km alrededor de algún emprendimiento (forestal e industrial) de Paracel.-14</t>
  </si>
  <si>
    <t>Cantidad de guaraníes invertidos en el departamento de Concepción.</t>
  </si>
  <si>
    <t>PR-SS-PDP-Target 1 Implementar el Programa Ñañoty, de fomento forestal dirigido a [pequeños/as productores/as], situados en un radio de 50 km alrededor de algún emprendimiento (forestal e industrial) de Paracel.-15</t>
  </si>
  <si>
    <t>Observación: (todos los datos deben ser clasificados por edad, sexo, tipo de comunidad, las comunidades deben ser clasificadas utilizando el nombre las mismas y las etnias si aplica).</t>
  </si>
  <si>
    <t>PR-SS-PDP-Target 2 [Generar alianzas para el desarrollo de espacios de networking y/o capacitación (virtual o presencial) dirigidos a Mipymes, con el objetivo de fortalecer su motivación, creatividad y visión de negocio].-01</t>
  </si>
  <si>
    <t>Target 2 [Generar alianzas para el desarrollo de espacios de networking y/o capacitación (virtual o presencial) dirigidos a Mipymes, con el objetivo de fortalecer su motivación, creatividad y visión de negocio].</t>
  </si>
  <si>
    <t>N° de emprendedores inscritos y asistentes (Clasificados por edad, sexo, etnia, localidad, departamento).</t>
  </si>
  <si>
    <t>PR-SS-PDP-Target 2 [Generar alianzas para el desarrollo de espacios de networking y/o capacitación (virtual o presencial) dirigidos a Mipymes, con el objetivo de fortalecer su motivación, creatividad y visión de negocio].-02</t>
  </si>
  <si>
    <t>N° de rubros presentes en el evento.</t>
  </si>
  <si>
    <t>PR-SS-PDP-Target 2 [Generar alianzas para el desarrollo de espacios de networking y/o capacitación (virtual o presencial) dirigidos a Mipymes, con el objetivo de fortalecer su motivación, creatividad y visión de negocio].-03</t>
  </si>
  <si>
    <t>Cantidad de empresas por tamaño (micro, pequeña, mediana y grande).</t>
  </si>
  <si>
    <t>PR-SS-PDP-Target 2 [Generar alianzas para el desarrollo de espacios de networking y/o capacitación (virtual o presencial) dirigidos a Mipymes, con el objetivo de fortalecer su motivación, creatividad y visión de negocio].-04</t>
  </si>
  <si>
    <t>N° de empresas vinculadas con Paracel (participantes del Programa 2023,</t>
  </si>
  <si>
    <t>PR-SS-PDP-Target 2 [Generar alianzas para el desarrollo de espacios de networking y/o capacitación (virtual o presencial) dirigidos a Mipymes, con el objetivo de fortalecer su motivación, creatividad y visión de negocio].-05</t>
  </si>
  <si>
    <t>% de satisfacción de los/las participantes.</t>
  </si>
  <si>
    <t>PR-SS-PDP-Target 2 [Generar alianzas para el desarrollo de espacios de networking y/o capacitación (virtual o presencial) dirigidos a Mipymes, con el objetivo de fortalecer su motivación, creatividad y visión de negocio].-06</t>
  </si>
  <si>
    <t>N° de necesidades identificadas para futuras capacitaciones.</t>
  </si>
  <si>
    <t>PR-SS-PDP-Target 2 [Generar alianzas para el desarrollo de espacios de networking y/o capacitación (virtual o presencial) dirigidos a Mipymes, con el objetivo de fortalecer su motivación, creatividad y visión de negocio].-07</t>
  </si>
  <si>
    <t>N° de consultores contratados (Clasificados por edad, sexo, distrito, departamento).</t>
  </si>
  <si>
    <t>PR-SS-PDP-Target 2 [Generar alianzas para el desarrollo de espacios de networking y/o capacitación (virtual o presencial) dirigidos a Mipymes, con el objetivo de fortalecer su motivación, creatividad y visión de negocio].-08</t>
  </si>
  <si>
    <t>Valor de inversión en guaraníes por Paracel y organizaciones aliadas.</t>
  </si>
  <si>
    <t>PR-SS-PDP-Target 2 [Generar alianzas para el desarrollo de espacios de networking y/o capacitación (virtual o presencial) dirigidos a Mipymes, con el objetivo de fortalecer su motivación, creatividad y visión de negocio].-09</t>
  </si>
  <si>
    <t>EVALUACIÓN DE IMPACTO</t>
  </si>
  <si>
    <t>PR-SS-PDP-Target 2 [Generar alianzas para el desarrollo de espacios de networking y/o capacitación (virtual o presencial) dirigidos a Mipymes, con el objetivo de fortalecer su motivación, creatividad y visión de negocio].-10</t>
  </si>
  <si>
    <t>MÉTODO DE EVALUACIÓN</t>
  </si>
  <si>
    <t>PR-SS-PDP-Target 2 [Generar alianzas para el desarrollo de espacios de networking y/o capacitación (virtual o presencial) dirigidos a Mipymes, con el objetivo de fortalecer su motivación, creatividad y visión de negocio].-11</t>
  </si>
  <si>
    <t>No Experimental (Antes y Después) (Facturación, número de personas contratadas, número de clientes, cantidad de documentos legales disponibles, volumen de producción, modalidad del negocio, etc.)</t>
  </si>
  <si>
    <t>PR-SS-RPI-Target 1 :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2025.-01</t>
  </si>
  <si>
    <t>Target 1 :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</si>
  <si>
    <t>A01</t>
  </si>
  <si>
    <t>PR-SS-RPI-Target 1 :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2025.-02</t>
  </si>
  <si>
    <t>Número de personas participantes del proceso de consulta prevía, libre e informada por comunidad y clasificada por franja etaria, sexo, grado de instrucción, etc.</t>
  </si>
  <si>
    <t>PR-SS-RPI-Target 1 :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2025.-03</t>
  </si>
  <si>
    <t>A02</t>
  </si>
  <si>
    <t>PR-SS-RPI-Target 1 :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2025.-04</t>
  </si>
  <si>
    <t>Proporción participación de familias en función al número total de familias de la comunidad (Calculado con miembros adultos representantes de familia)</t>
  </si>
  <si>
    <t>PR-SS-RPI-Target 1 :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2025.-05</t>
  </si>
  <si>
    <t>A03</t>
  </si>
  <si>
    <t>PR-SS-RPI-Target 1 :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2025.-06</t>
  </si>
  <si>
    <t>Número de reuniones de socialización.</t>
  </si>
  <si>
    <t>PR-SS-RPI-Target 1 :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2025.-07</t>
  </si>
  <si>
    <t>A04</t>
  </si>
  <si>
    <t>PR-SS-RPI-Target 1 :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2025.-08</t>
  </si>
  <si>
    <t>Número de personas de otras instituciones que acompañan el proceso.</t>
  </si>
  <si>
    <t>PR-SS-RPI-Target 1 :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2025.-09</t>
  </si>
  <si>
    <t>A05</t>
  </si>
  <si>
    <t>PR-SS-RPI-Target 1 :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2025.-10</t>
  </si>
  <si>
    <t>Inversión de otras instituciones en el proceso de consultas.</t>
  </si>
  <si>
    <t>PR-SS-RPI-Target 1 :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2025.-11</t>
  </si>
  <si>
    <t>A06</t>
  </si>
  <si>
    <t>PR-SS-RPI-Target 1 :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2025.-12</t>
  </si>
  <si>
    <t>Lista de comentarios, percepción, expectativas de los miembros de las comunidades.</t>
  </si>
  <si>
    <t>PR-SS-RPI-Target 1 :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2025.-13</t>
  </si>
  <si>
    <t>A07</t>
  </si>
  <si>
    <t>PR-SS-RPI-Target 1 :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2025.-14</t>
  </si>
  <si>
    <t>Tiempo invertido en el desarrollo de los procesos de consulta.</t>
  </si>
  <si>
    <t>PR-SS-RPI-Target 1 :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2025.-15</t>
  </si>
  <si>
    <t>A08</t>
  </si>
  <si>
    <t>PR-SS-RPI-Target 1 :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2025.-16</t>
  </si>
  <si>
    <t>Número de materiales de socialización desarrollados.</t>
  </si>
  <si>
    <t>PR-SS-RPI-Target 2 : Desarrollo un plan de uso de servicios ecosistémicos con las comunidades indígenas que hacen uso de estos dentro de propiedades de Paracel.-01</t>
  </si>
  <si>
    <t>Target 2 : Desarrollo un plan de uso de servicios ecosistémicos con las comunidades indígenas que hacen uso de estos dentro de propiedades de Paracel.</t>
  </si>
  <si>
    <t>PR-SS-RPI-Target 2 : Desarrollo un plan de uso de servicios ecosistémicos con las comunidades indígenas que hacen uso de estos dentro de propiedades de Paracel.-02</t>
  </si>
  <si>
    <t>Usos de servicios ecosistémicos identificados (tipo, superficie, estancias, personas que hacen uso, distancias de recorrido para uso, metodología de uso)</t>
  </si>
  <si>
    <t>PR-SS-RPI-Target 2 : Desarrollo un plan de uso de servicios ecosistémicos con las comunidades indígenas que hacen uso de estos dentro de propiedades de Paracel.-03</t>
  </si>
  <si>
    <t>PR-SS-RPI-Target 2 : Desarrollo un plan de uso de servicios ecosistémicos con las comunidades indígenas que hacen uso de estos dentro de propiedades de Paracel.-04</t>
  </si>
  <si>
    <t>Plan de manejo de servicios ecosistémicos (cantidad de planes desarrollados e implementados, ubicación)</t>
  </si>
  <si>
    <t>PR-SS-RPI-Target 2 : Desarrollo un plan de uso de servicios ecosistémicos con las comunidades indígenas que hacen uso de estos dentro de propiedades de Paracel.-05</t>
  </si>
  <si>
    <t>PR-SS-RPI-Target 2 : Desarrollo un plan de uso de servicios ecosistémicos con las comunidades indígenas que hacen uso de estos dentro de propiedades de Paracel.-06</t>
  </si>
  <si>
    <t>Evaluaciones y socializaciones de planes de uso de servicios ecosistémicos</t>
  </si>
  <si>
    <t>PR-SS-RPI-Target 2 : Desarrollo un plan de uso de servicios ecosistémicos con las comunidades indígenas que hacen uso de estos dentro de propiedades de Paracel.-07</t>
  </si>
  <si>
    <t>PR-SS-RPI-Target 2 : Desarrollo un plan de uso de servicios ecosistémicos con las comunidades indígenas que hacen uso de estos dentro de propiedades de Paracel.-08</t>
  </si>
  <si>
    <t>Implementación de planes de uso de servicios ecosistémicos</t>
  </si>
  <si>
    <t>PR-SS-RPI-Target 2 : Desarrollo un plan de uso de servicios ecosistémicos con las comunidades indígenas que hacen uso de estos dentro de propiedades de Paracel.-09</t>
  </si>
  <si>
    <t>La desagregaciones se dan por comunidad, sexo, edad, número de personas</t>
  </si>
  <si>
    <t>PR-SS-RPI-Target 3 : Mantener la vinculación con las comunidades Ita Jeguaka, Cerro Akangue y Arroyo Ka’a a través de actividades específicas coordinadas con lideres comunitarios.-01</t>
  </si>
  <si>
    <t>Target 3 : Mantener la vinculación con las comunidades Ita Jeguaka, Cerro Akangue y Arroyo Ka’a a través de actividades específicas coordinadas con lideres comunitarios.</t>
  </si>
  <si>
    <t>PR-SS-RPI-Target 3 : Mantener la vinculación con las comunidades Ita Jeguaka, Cerro Akangue y Arroyo Ka’a a través de actividades específicas coordinadas con lideres comunitarios.-02</t>
  </si>
  <si>
    <t>PR-SS-RPI-Target 3 : Mantener la vinculación con las comunidades Ita Jeguaka, Cerro Akangue y Arroyo Ka’a a través de actividades específicas coordinadas con lideres comunitarios.-03</t>
  </si>
  <si>
    <t>PR-SS-RPI-Target 3 : Mantener la vinculación con las comunidades Ita Jeguaka, Cerro Akangue y Arroyo Ka’a a través de actividades específicas coordinadas con lideres comunitarios.-04</t>
  </si>
  <si>
    <t>Número de vinculaciones por tipo (reuniones, invitaciones, contacto telefónico, etc).</t>
  </si>
  <si>
    <t>PR-SS-RPI-Target 3 : Mantener la vinculación con las comunidades Ita Jeguaka, Cerro Akangue y Arroyo Ka’a a través de actividades específicas coordinadas con lideres comunitarios.-05</t>
  </si>
  <si>
    <t>Número de personas alcanzadas.</t>
  </si>
  <si>
    <t>PR-SS-RPI-Target 3 : Mantener la vinculación con las comunidades Ita Jeguaka, Cerro Akangue y Arroyo Ka’a a través de actividades específicas coordinadas con lideres comunitarios.-06</t>
  </si>
  <si>
    <t>Número de consultas, expectativas, sugerencias.</t>
  </si>
  <si>
    <t>PR-SS-RPI-Target 3 : Mantener la vinculación con las comunidades Ita Jeguaka, Cerro Akangue y Arroyo Ka’a a través de actividades específicas coordinadas con lideres comunitarios.-07</t>
  </si>
  <si>
    <t>PR-SS-RPI-Target 3 : Mantener la vinculación con las comunidades Ita Jeguaka, Cerro Akangue y Arroyo Ka’a a través de actividades específicas coordinadas con lideres comunitarios.-08</t>
  </si>
  <si>
    <t>Número de actividades en las que participaron.</t>
  </si>
  <si>
    <t>PR-SS-RPI-Target 3 : Mantener la vinculación con las comunidades Ita Jeguaka, Cerro Akangue y Arroyo Ka’a a través de actividades específicas coordinadas con lideres comunitarios.-09</t>
  </si>
  <si>
    <t>La desagregaciones se dan por comunidad, sexo, edad.</t>
  </si>
  <si>
    <t>PR-SS-RPI-Target 4 : Desarrollar jornadas de gestión documental vinculados a la identidad de los miembros de comunidades indígenas (cédulas de identidad, carnet indígena, partidas de nacimiento, inscripciones en el Registro Civil), etc.-01</t>
  </si>
  <si>
    <t>Target 4 : Desarrollar jornadas de gestión documental vinculados a la identidad de los miembros de comunidades indígenas (cédulas de identidad, carnet indígena, partidas de nacimiento, inscripciones en el Registro Civil), etc.</t>
  </si>
  <si>
    <t>PR-SS-RPI-Target 4 : Desarrollar jornadas de gestión documental vinculados a la identidad de los miembros de comunidades indígenas (cédulas de identidad, carnet indígena, partidas de nacimiento, inscripciones en el Registro Civil), etc.-02</t>
  </si>
  <si>
    <t>Cantidad de cédulas (Primera vez).</t>
  </si>
  <si>
    <t>PR-SS-RPI-Target 4 : Desarrollar jornadas de gestión documental vinculados a la identidad de los miembros de comunidades indígenas (cédulas de identidad, carnet indígena, partidas de nacimiento, inscripciones en el Registro Civil), etc.-03</t>
  </si>
  <si>
    <t>PR-SS-RPI-Target 4 : Desarrollar jornadas de gestión documental vinculados a la identidad de los miembros de comunidades indígenas (cédulas de identidad, carnet indígena, partidas de nacimiento, inscripciones en el Registro Civil), etc.-04</t>
  </si>
  <si>
    <t>Actas de nacimiento por edad (Niños menores de 0 a 4 años).</t>
  </si>
  <si>
    <t>PR-SS-RPI-Target 4 : Desarrollar jornadas de gestión documental vinculados a la identidad de los miembros de comunidades indígenas (cédulas de identidad, carnet indígena, partidas de nacimiento, inscripciones en el Registro Civil), etc.-05</t>
  </si>
  <si>
    <t>PR-SS-RPI-Target 4 : Desarrollar jornadas de gestión documental vinculados a la identidad de los miembros de comunidades indígenas (cédulas de identidad, carnet indígena, partidas de nacimiento, inscripciones en el Registro Civil), etc.-06</t>
  </si>
  <si>
    <t>Cantidad de documentaciones gestionados y obtenidos según tipo (Clasificado por edad, edad, sexo, comunidad, etc).</t>
  </si>
  <si>
    <t>PR-SS-RPI-Target 4 : Desarrollar jornadas de gestión documental vinculados a la identidad de los miembros de comunidades indígenas (cédulas de identidad, carnet indígena, partidas de nacimiento, inscripciones en el Registro Civil), etc.-07</t>
  </si>
  <si>
    <t>La desagregaciones se dan por persona, edad, sexo, comunidad, etc.</t>
  </si>
  <si>
    <t>PR-SS-RPI-Target 5 : Apoyar a la seguridad alimentaria escolar en comunidades del AID.-01</t>
  </si>
  <si>
    <t>Target 5 : Apoyar a la seguridad alimentaria escolar en comunidades del AID.</t>
  </si>
  <si>
    <t>PR-SS-RPI-Target 5 : Apoyar a la seguridad alimentaria escolar en comunidades del AID.-02</t>
  </si>
  <si>
    <t>Instituciones alcanzadas (distrito y tipo de comunidad).</t>
  </si>
  <si>
    <t>PR-SS-RPI-Target 5 : Apoyar a la seguridad alimentaria escolar en comunidades del AID.-03</t>
  </si>
  <si>
    <t>PR-SS-RPI-Target 5 : Apoyar a la seguridad alimentaria escolar en comunidades del AID.-04</t>
  </si>
  <si>
    <t>Número de niños alcanzados según RUE.</t>
  </si>
  <si>
    <t>PR-SS-RPI-Target 5 : Apoyar a la seguridad alimentaria escolar en comunidades del AID.-05</t>
  </si>
  <si>
    <t>PR-SS-RPI-Target 5 : Apoyar a la seguridad alimentaria escolar en comunidades del AID.-06</t>
  </si>
  <si>
    <t>Número de niños alcanzados (real).</t>
  </si>
  <si>
    <t>PR-SS-RPI-Target 5 : Apoyar a la seguridad alimentaria escolar en comunidades del AID.-07</t>
  </si>
  <si>
    <t>PR-SS-RPI-Target 5 : Apoyar a la seguridad alimentaria escolar en comunidades del AID.-08</t>
  </si>
  <si>
    <t>Kg de alimentos entregados.</t>
  </si>
  <si>
    <t>PR-SS-RPI-Target 5 : Apoyar a la seguridad alimentaria escolar en comunidades del AID.-09</t>
  </si>
  <si>
    <t>PR-SS-RPI-Target 5 : Apoyar a la seguridad alimentaria escolar en comunidades del AID.-10</t>
  </si>
  <si>
    <t>Proporción de alimentos por tipo.</t>
  </si>
  <si>
    <t>PR-SS-RPI-Target 5 : Apoyar a la seguridad alimentaria escolar en comunidades del AID.-11</t>
  </si>
  <si>
    <t>Datos desagregados por sexo, edad y grado.</t>
  </si>
  <si>
    <t>PR-SS-RPI-Target 6 : Apoyar a referentes de comunidades indígenas en el relacionamiento con instituciones del estado a fin de autogestionar los temas relacionados a su organización comunitaria o política (identidad, vivienda, salud, educación, etc.).-01</t>
  </si>
  <si>
    <t>Target 6 : Apoyar a referentes de comunidades indígenas en el relacionamiento con instituciones del estado a fin de autogestionar los temas relacionados a su organización comunitaria o política (identidad, vivienda, salud, educación, etc.).</t>
  </si>
  <si>
    <t>PR-SS-RPI-Target 6 : Apoyar a referentes de comunidades indígenas en el relacionamiento con instituciones del estado a fin de autogestionar los temas relacionados a su organización comunitaria o política (identidad, vivienda, salud, educación, etc.).-02</t>
  </si>
  <si>
    <t>Número de gestiones clasificadas por documentación de identidad, documentación comunitaria, salud, seguridad, acceso a servicios básicos, etc.</t>
  </si>
  <si>
    <t>PR-SS-RPI-Target 6 : Apoyar a referentes de comunidades indígenas en el relacionamiento con instituciones del estado a fin de autogestionar los temas relacionados a su organización comunitaria o política (identidad, vivienda, salud, educación, etc.).-03</t>
  </si>
  <si>
    <t>PR-SS-RPI-Target 6 : Apoyar a referentes de comunidades indígenas en el relacionamiento con instituciones del estado a fin de autogestionar los temas relacionados a su organización comunitaria o política (identidad, vivienda, salud, educación, etc.).-04</t>
  </si>
  <si>
    <t>Número de instituciones (desagregadas).</t>
  </si>
  <si>
    <t>PR-SS-RPI-Target 6 : Apoyar a referentes de comunidades indígenas en el relacionamiento con instituciones del estado a fin de autogestionar los temas relacionados a su organización comunitaria o política (identidad, vivienda, salud, educación, etc.).-05</t>
  </si>
  <si>
    <t>PR-SS-RPI-Target 6 : Apoyar a referentes de comunidades indígenas en el relacionamiento con instituciones del estado a fin de autogestionar los temas relacionados a su organización comunitaria o política (identidad, vivienda, salud, educación, etc.).-06</t>
  </si>
  <si>
    <t>Valor invertido.</t>
  </si>
  <si>
    <t>04. CRONOGRAMA DE TARGETS</t>
  </si>
  <si>
    <t>Vista mensual de activación por target, a partir del campo Meses Activos de la hoja original.</t>
  </si>
  <si>
    <t>DESCRIPCIÓN</t>
  </si>
  <si>
    <t>MESES ACTIVOS (RAW)</t>
  </si>
  <si>
    <t>ENE</t>
  </si>
  <si>
    <t>FEB</t>
  </si>
  <si>
    <t>MAR</t>
  </si>
  <si>
    <t>ABR</t>
  </si>
  <si>
    <t>MAY</t>
  </si>
  <si>
    <t>JUN</t>
  </si>
  <si>
    <t>JUL</t>
  </si>
  <si>
    <t>AGO</t>
  </si>
  <si>
    <t>SEP</t>
  </si>
  <si>
    <t>OCT</t>
  </si>
  <si>
    <t>NOV</t>
  </si>
  <si>
    <t>DIC</t>
  </si>
  <si>
    <t>TOTAL MESES</t>
  </si>
  <si>
    <t>Contribuir para aumentar el número de jóvenes y adultos con competencias técnicas y profesionales, para acceder al empleo (el trabajo decente) a través del desarrollo de [10] cursos de capacitación, y [8] jornadas de certificación laboral  por compet</t>
  </si>
  <si>
    <t>Auditar de forma trimestral a empresas contratistas del componente Forestal e Industrial (si aplica) en materia de sustentabilidad social considerando las normativas nacionales e internacionales adoptadas por Paracel, en el marco del respeto de los d</t>
  </si>
  <si>
    <t>Sensibilizar a miembros de las comunidades de la zona de influencia de Paracel sobre educación sexual, planificación familiar y prevención de VIH/SIDA, a través de talleres, entrega de insumos, la aplicación de las pruebas de detección de VIH y la vi</t>
  </si>
  <si>
    <t>Mejorar la infraestructura en comunidades rurales e indígenas del Área de Influencia de Paracel a través de intervenciones con foco en:
 A - Sistemas de acceso y distribución de agua.
 B -Mejoramiento de los sistemas de accesos y/o distribución de en</t>
  </si>
  <si>
    <t xml:space="preserve">Garantizar el cumplimiento del 100% de los procesos CLPI, en el marco del cumplimiento del Decreto 1039/18, la norma IFC, los criterios de la norma FSC® y el respeto de los Derechos de los Pueblos Indígenas para las comunidades indígenas del Área de </t>
  </si>
  <si>
    <t>Target</t>
  </si>
  <si>
    <t>06. DICCIONARIO Y GOBIERNO DE DATOS</t>
  </si>
  <si>
    <t>Guía mínima para mantener consistencia, trazabilidad y calidad documental en el registro maestro.</t>
  </si>
  <si>
    <t>Hoja</t>
  </si>
  <si>
    <t>Rol</t>
  </si>
  <si>
    <t>Nivel</t>
  </si>
  <si>
    <t>Llave sugerida</t>
  </si>
  <si>
    <t>Campos clave</t>
  </si>
  <si>
    <t>Uso recomendado</t>
  </si>
  <si>
    <t>Observaciones</t>
  </si>
  <si>
    <t>Catálogo maestro de programas</t>
  </si>
  <si>
    <t>Nombre, versión, estado, ficha</t>
  </si>
  <si>
    <t>Actualizar cuando cambie el programa vigente</t>
  </si>
  <si>
    <t>No usar para registrar targets</t>
  </si>
  <si>
    <t>Inventario documental por versión</t>
  </si>
  <si>
    <t>Documento</t>
  </si>
  <si>
    <t>Código + Versión + Idioma + Formato</t>
  </si>
  <si>
    <t>Fecha, estado, archivo</t>
  </si>
  <si>
    <t>Trazabilidad documental</t>
  </si>
  <si>
    <t>Permite auditoría de cambios</t>
  </si>
  <si>
    <t>Metadatos de fichas técnicas</t>
  </si>
  <si>
    <t>Ficha</t>
  </si>
  <si>
    <t>Código Programa + Versión</t>
  </si>
  <si>
    <t>Propósito, necesidad, objetivo, alcance</t>
  </si>
  <si>
    <t>Base conceptual del programa</t>
  </si>
  <si>
    <t>Debe existir una fila por ficha</t>
  </si>
  <si>
    <t>Plan operativo por target</t>
  </si>
  <si>
    <t>Código Programa + Target Nº</t>
  </si>
  <si>
    <t>Descripción, actividades, presupuesto, meses activos</t>
  </si>
  <si>
    <t>Planeación y seguimiento</t>
  </si>
  <si>
    <t>Completar fórmula, fuente, periodicidad, responsable</t>
  </si>
  <si>
    <t>Indicadores agregados por target</t>
  </si>
  <si>
    <t>Indicador agregado</t>
  </si>
  <si>
    <t>Código Programa + Target</t>
  </si>
  <si>
    <t>Indicador, evidencia</t>
  </si>
  <si>
    <t>Repositorio original</t>
  </si>
  <si>
    <t>Utilizar 03_INDICADORES_NORMALIZADOS para análisis</t>
  </si>
  <si>
    <t>Vista analítica integrada</t>
  </si>
  <si>
    <t>Registro analítico</t>
  </si>
  <si>
    <t>Presupuesto normalizado, completitud, incidencias</t>
  </si>
  <si>
    <t>Seguimiento ejecutivo</t>
  </si>
  <si>
    <t>Hoja recomendada para reportes</t>
  </si>
  <si>
    <t>Descomposición de indicadores</t>
  </si>
  <si>
    <t>Indicador individual</t>
  </si>
  <si>
    <t>Indicador individual, tipo</t>
  </si>
  <si>
    <t>Filtrado y análisis</t>
  </si>
  <si>
    <t>Facilita tableros y conteos</t>
  </si>
  <si>
    <t>Calendario mensual</t>
  </si>
  <si>
    <t>Target-Mes</t>
  </si>
  <si>
    <t>Código + Target Nº</t>
  </si>
  <si>
    <t>Meses activos</t>
  </si>
  <si>
    <t>Planeación temporal</t>
  </si>
  <si>
    <t>Derivado del texto de meses activos</t>
  </si>
  <si>
    <t>Control y brechas</t>
  </si>
  <si>
    <t>Incidencia</t>
  </si>
  <si>
    <t>Brechas documentales</t>
  </si>
  <si>
    <t>Priorización de saneamiento</t>
  </si>
  <si>
    <t>Actualizar tras mejorar campos faltantes</t>
  </si>
  <si>
    <t>Nombre</t>
  </si>
  <si>
    <t>Nombre Corto</t>
  </si>
  <si>
    <t>Versión</t>
  </si>
  <si>
    <t>Fecha Act.</t>
  </si>
  <si>
    <t>Nº Versiones</t>
  </si>
  <si>
    <t>Tiene PDF</t>
  </si>
  <si>
    <t>Tiene EN</t>
  </si>
  <si>
    <t>Objetivo</t>
  </si>
  <si>
    <t>Alcance</t>
  </si>
  <si>
    <t>Marco Legal</t>
  </si>
  <si>
    <t>Responsable</t>
  </si>
  <si>
    <t>Metodología</t>
  </si>
  <si>
    <t>2025-07-21</t>
  </si>
  <si>
    <t xml:space="preserve">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t>
  </si>
  <si>
    <t/>
  </si>
  <si>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t>
  </si>
  <si>
    <t>Empoderar a las mujeres para acortar las brechas de desigualdad étnicas y de género. | [FSC-STD-PRY-01-2022] Normas de Desempeño IFC REGISTROS Y/O ANEXO [Registro del Plan de Comunicación [Registro de Asistencia] Informe de Resultados</t>
  </si>
  <si>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t>
  </si>
  <si>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t>
  </si>
  <si>
    <t>Monitoreo Social</t>
  </si>
  <si>
    <t>Realizar el monitoreo de la implementación de las medidas y los programas [desarrollados por Paracel] a través de la definición y seguimiento de indicadores de desempeño. Este programa contiene a su vez un subcomponente de monitoreo de la percepción social mediante el cual se podrá contar con inform</t>
  </si>
  <si>
    <t>El programa de Monitoreo Social tiene el siguiente alcance: DEFINICIONES Área de Influencia Directa (AID) del componente industrial: incluyen 5 distritos cercanos al sitio de la Planta Industrial, inc</t>
  </si>
  <si>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t>
  </si>
  <si>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</si>
  <si>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t>
  </si>
  <si>
    <t xml:space="preserve">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t>
  </si>
  <si>
    <t xml:space="preserve">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t>
  </si>
  <si>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t>
  </si>
  <si>
    <t>Seguridad Vial</t>
  </si>
  <si>
    <t>2025-12-16</t>
  </si>
  <si>
    <t>Disminuir la probabilidad de ocurrencia de accidentes viales y la afectación al modo de vida de las comunidades aledañas [al sitio de planta industrial] y a las propiedades para plantaciones forestales, originadas por el incremento del tránsito originadas por el incremento del tránsito y malas práct</t>
  </si>
  <si>
    <t>2025-12-09</t>
  </si>
  <si>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t>
  </si>
  <si>
    <t>Versión Nº</t>
  </si>
  <si>
    <t>Fecha</t>
  </si>
  <si>
    <t>Idioma</t>
  </si>
  <si>
    <t>Formato</t>
  </si>
  <si>
    <t>Archivo</t>
  </si>
  <si>
    <t>2021-04-15</t>
  </si>
  <si>
    <t>Obsoleto</t>
  </si>
  <si>
    <t>Español</t>
  </si>
  <si>
    <t>DOCX</t>
  </si>
  <si>
    <t>210415 PR-SS-AAE - Programa de Manejo Interno por Afectación de Tierras y Riesgos por Agentes Externos v01.docx</t>
  </si>
  <si>
    <t>Internal Management Program for Land Affection and Risks by External Agents</t>
  </si>
  <si>
    <t>Inglés</t>
  </si>
  <si>
    <t>210415 PR-SS-AAE - Internal Management Program for Land Affection and Risks by External Agents v01.docx</t>
  </si>
  <si>
    <t>Programa de Manejo Interno por Afectación de Tierras y Riesgos por Agentes Externos</t>
  </si>
  <si>
    <t>v02</t>
  </si>
  <si>
    <t>2022-01-04</t>
  </si>
  <si>
    <t>220104 PR-SS-AAE - Programa de Manejo Interno por Afectación de Tierras y Riesgos por Agentes Externos v02.docx</t>
  </si>
  <si>
    <t>v03</t>
  </si>
  <si>
    <t>2023-05-28</t>
  </si>
  <si>
    <t>PDF</t>
  </si>
  <si>
    <t>230528 PR-SS-AAE - Programa de Manejo Interno por Afectación de Tierras y Riesgos por Agentes Externos v03.pdf</t>
  </si>
  <si>
    <t>230528 PR-SS-AAE - Programa de Manejo Interno por Afectación de Tierras y Riesgos por Agentes Externos v03.docx</t>
  </si>
  <si>
    <t>2024-04-04</t>
  </si>
  <si>
    <t>240404 PR-SS-AAE - Programa de Manejo Interno por Afectación de Tierras y Riesgos por Agentes Externos v04.docx</t>
  </si>
  <si>
    <t>250721 PR-SS-AAE - Programa de Manejo Interno por Afectación de Tierras y Riesgos por Agentes Externos v05.docx</t>
  </si>
  <si>
    <t>210415 PR-SS-CON - Programa de Sensibilización y Seguimiento a Contratistas y Trabajadores v01.docx</t>
  </si>
  <si>
    <t>Awareness and Follow-Up Program for Contractors and Workers Regarding Compliance with Regulations</t>
  </si>
  <si>
    <t>210415 PR-SS-CON - Awareness and Follow-Up Program for Contractors and Workers Regarding Compliance with Regulations v01.docx</t>
  </si>
  <si>
    <t>Programa de Sensibilización y Seguimiento a Contratistas y Trabajadores</t>
  </si>
  <si>
    <t>220104 PR-SS-CON - Programa de Sensibilización y Seguimiento a Contratistas y Trabajadores v02.docx</t>
  </si>
  <si>
    <t>230528 PR-SS-CON - Programa de Sensibilización y Seguimiento a Contratistas y Trabajadores v03.pdf</t>
  </si>
  <si>
    <t>230528 PR-SS-CON - Programa de Sensibilización y Seguimiento a Contratistas y Trabajadores v03.docx</t>
  </si>
  <si>
    <t>240404 PR-SS-CON - Programa de Sensibilización y Seguimiento a Contratistas y Trabajadores v04.docx</t>
  </si>
  <si>
    <t>Programa de Sensibilización y Seguimiento a Empresas Contratistas y Trabajadores-as</t>
  </si>
  <si>
    <t>250721 PR-SS-CON - Programa de Sensibilización y Seguimiento a Empresas Contratistas y Trabajadores-as v05.docx</t>
  </si>
  <si>
    <t>2021-05-24</t>
  </si>
  <si>
    <t>210524 PR-SS-EMU- Programa de Empoderamiento de la Mujer v00.docx</t>
  </si>
  <si>
    <t>240404 PR-SS-EMU - Programa de Empoderamiento de la Mujer.docx</t>
  </si>
  <si>
    <t>Women's Empowerment Program</t>
  </si>
  <si>
    <t>210524 PR-SS-EMU- Women's Empowerment Program v00.docx</t>
  </si>
  <si>
    <t>220104 PR-SS-EMU- Programa de Empoderamiento de la Mujer v01.docx</t>
  </si>
  <si>
    <t>230528 PR-SS-EMU- Programa de Empoderamiento de la Mujer v02.pdf</t>
  </si>
  <si>
    <t>230528 PR-SS-EMU- Programa de Empoderamiento de la Mujer v02.docx</t>
  </si>
  <si>
    <t>250721 PR-SS-EMU - Programa de Empoderamiento de la Mujer v04.docx</t>
  </si>
  <si>
    <t>2021-04-20</t>
  </si>
  <si>
    <t>210420 PR-SS-MDO - Programa de Desarrollo y Vinculación de Mano de Obra Local  v01.docx</t>
  </si>
  <si>
    <t>Program for Development and Linkage with the Local Workforce</t>
  </si>
  <si>
    <t>210420 PR-SS-MDO - Program for Development and Linkage with the Local Workforce  v01.docx</t>
  </si>
  <si>
    <t>Programa de Desarrollo y Vinculación de Mano de Obra Local</t>
  </si>
  <si>
    <t>220104 PR-SS-MDO - Programa de Desarrollo y Vinculación de Mano de Obra Local  v02.docx</t>
  </si>
  <si>
    <t>230528 PR-SS-MDO - Programa de Desarrollo y Vinculación de Mano de Obra Local  v03.pdf</t>
  </si>
  <si>
    <t>230528 PR-SS-MDO - Programa de Desarrollo y Vinculación de Mano de Obra Local  v03.docx</t>
  </si>
  <si>
    <t>240404 PR-SS-MDO - Programa de Desarrollo y Vinculación de Mano de Obra Local  v04.docx</t>
  </si>
  <si>
    <t>250721 PR-SS-MDO - Programa de Desarrollo y Vinculación de Mano de Obra Local v05.docx</t>
  </si>
  <si>
    <t>2021-04-14</t>
  </si>
  <si>
    <t>210414 PR-SS-MSC - Programa de Manejo Social v01.docx</t>
  </si>
  <si>
    <t>Social Management Program</t>
  </si>
  <si>
    <t>210414 PR-SS-MSC - Social Management Program v01.docx</t>
  </si>
  <si>
    <t>220104 PR-SS-MSC - Programa de Manejo Social v02.docx</t>
  </si>
  <si>
    <t>230528 PR-SS-MSC - Programa de Manejo Social v03.pdf</t>
  </si>
  <si>
    <t>230528 PR-SS-MSC - Programa de Manejo Social v03.docx</t>
  </si>
  <si>
    <t>240404 PR-SS-MSC - Programa de Manejo Social v04.docx</t>
  </si>
  <si>
    <t>250721 PR-SS-MSC - Programa de Manejo Social v05.docx</t>
  </si>
  <si>
    <t>210414 PR-SS-MSO - Programa de Monitoreo Social v01.docx</t>
  </si>
  <si>
    <t>Social Monitoring Program</t>
  </si>
  <si>
    <t>210414 PR-SS-MSO - Social Monitoring Program v01.docx</t>
  </si>
  <si>
    <t>220104 PR-SS-MSO - Programa de Monitoreo Social v02.docx</t>
  </si>
  <si>
    <t>230528 PR-SS-MSO - Programa de Monitoreo Social v03.pdf</t>
  </si>
  <si>
    <t>230528 PR-SS-MSO - Programa de Monitoreo Social v03.docx</t>
  </si>
  <si>
    <t>240404 PR-SS-MSO - Programa de Monitoreo Social v04.docx</t>
  </si>
  <si>
    <t>250721 PR-SS-MSO - Programa de Monitoreo Social v05.docx</t>
  </si>
  <si>
    <t>210524 PR-SS-PCS - Programa de Prevención y Gestión de Contingencias Sociales v01.docx</t>
  </si>
  <si>
    <t>Social Contingency Prevention and Management Program</t>
  </si>
  <si>
    <t>210524 PR-SS-PCS - Social Contingency Prevention and Management Program v01.docx</t>
  </si>
  <si>
    <t>Programa de Prevención y Gestión de Contingencias Sociales</t>
  </si>
  <si>
    <t>220104 PR-SS-PCS - Programa de Prevención y Gestión de Contingencias Sociales v02.docx</t>
  </si>
  <si>
    <t>230528 PR-SS-PCS - Programa de Prevención y Gestión de Contingencias Sociales v03.pdf</t>
  </si>
  <si>
    <t>230528 PR-SS-PCS - Programa de Prevención y Gestión de Contingencias Sociales v03.docx</t>
  </si>
  <si>
    <t>240404 PR-SS-PCS - Programa de Prevención y Gestión de Contingencias Sociales v04.docx</t>
  </si>
  <si>
    <t>250721 PR-SS-PCS - Programa de Prevención y Gestión de Contingencias Sociales v05.docx</t>
  </si>
  <si>
    <t>Programa de Resguardo y Valorización del Patrimonio Cultural</t>
  </si>
  <si>
    <t>210415 PR-SS-PCU - Programa de Resguardo y Valorización del Patrimonio Cultural v01.docx</t>
  </si>
  <si>
    <t>Program for The Protection and Valorization of Cultural Heritage</t>
  </si>
  <si>
    <t>210415 PR-SS-PCU - Program for The Protection and Valorization of Cultural Heritage v01.docx</t>
  </si>
  <si>
    <t>Programa de Resguardo y Valorización del Patrimonio Cultural</t>
  </si>
  <si>
    <t>220104 PR-SS-PCU - Programa de Resguardo y Valorización del Patrimonio Cultural v02.docx</t>
  </si>
  <si>
    <t>230528 PR-SS-PCU - Programa de Gestión del Patrimonio Cultural v03.pdf</t>
  </si>
  <si>
    <t>230528 PR-SS-PCU - Programa de Gestión del Patrimonio Cultural v03.docx</t>
  </si>
  <si>
    <t>240404 PR-SS-PCU - Programa de Gestión del Patrimonio Cultural v04.docx</t>
  </si>
  <si>
    <t>250721 PR-SS-PCU - Programa de Gestión del Patrimonio Cultural v05.docx</t>
  </si>
  <si>
    <t>Programa de Promoción y Desarrollo de Proveedores Locales</t>
  </si>
  <si>
    <t>210415 PR-SS-PDP - Programa de Promoción y Desarrollo de Proveedores Locales v01.docx</t>
  </si>
  <si>
    <t>Local Supplier Development and Promotion Program</t>
  </si>
  <si>
    <t>210415 PR-SS-PDP - Local Supplier Development and Promotion Program v01.docx</t>
  </si>
  <si>
    <t>Programa de Promoción y Desarrollo de Proveedores Locales</t>
  </si>
  <si>
    <t>220104 PR-SS-PDP - Programa de Promoción y Desarrollo de Proveedores Locales v02.docx</t>
  </si>
  <si>
    <t>230528 PR-SS-PDP - Programa de Promoción y Desarrollo de Proveedores Locales v03.pdf</t>
  </si>
  <si>
    <t>230528 PR-SS-PDP - Programa de Promoción y Desarrollo de Proveedores Locales v03.docx</t>
  </si>
  <si>
    <t>240404 PR-SS-PDP - Programa de Promoción y Desarrollo de Proveedores Locales v04.docx</t>
  </si>
  <si>
    <t>250721 PR-SS-PDP - Programa de Promoción y Desarrollo de Empresas Proveedoras Locales v05.docx</t>
  </si>
  <si>
    <t>210415 PR-SS-QRI - Programa de Gestión de Quejas, Consultas y Sugerencias v01.docx</t>
  </si>
  <si>
    <t>Complaints Management Program, Suggestions and Inquiries</t>
  </si>
  <si>
    <t>210415 PR-SS-QRI - Complaints Management Program, Suggestions and Inquiries v01.docx</t>
  </si>
  <si>
    <t>Programa de Gestión de Quejas, Consultas y Sugerencias</t>
  </si>
  <si>
    <t>220104 PR-SS-QRI - Programa de Gestión de Quejas, Consultas y Sugerencias v02.docx</t>
  </si>
  <si>
    <t>Programa de Gestión de Quejas Consultas y Sugerencias</t>
  </si>
  <si>
    <t>230528 PR-SS-QRI - Programa de Gestión de Quejas Consultas y Sugerencias v03.pdf</t>
  </si>
  <si>
    <t>230528 PR-SS-QRI - Programa de Gestión de Quejas Consultas y Sugerencias v03.docx</t>
  </si>
  <si>
    <t>240404 PR-SS-QRI - Programa de Gestión de Quejas Consultas y Sugerencias v04.docx</t>
  </si>
  <si>
    <t>250721 PR-SS-QRI - Programa de Gestión de Quejas Consultas y Sugerencias v05.docx</t>
  </si>
  <si>
    <t>Programa de Relacionamiento con la Comunidad e Inversión Social</t>
  </si>
  <si>
    <t>210415 PR-SS-RCI - Programa de Relacionamiento con la Comunidad e Inversión Social v01.docx</t>
  </si>
  <si>
    <t>Community Relationship and Social Investment Program</t>
  </si>
  <si>
    <t>210415 PR-SS-RCI - Community Relationship and Social Investment Program v01.docx</t>
  </si>
  <si>
    <t>Programa de Relacionamiento con Comunidades e Inversión Social</t>
  </si>
  <si>
    <t>220104 PR-SS-RCI - Programa de Relacionamiento con Comunidades e Inversión Social v02.docx</t>
  </si>
  <si>
    <t>230528 PR-SS-RCI - Programa de Relacionamiento con Comunidades e Inversión Social v03.pdf</t>
  </si>
  <si>
    <t>230528 PR-SS-RCI - Programa de Relacionamiento con Comunidades e Inversión Social v03.docx</t>
  </si>
  <si>
    <t>240404 PR-SS-RCI - Programa de Relacionamiento con Comunidades e Inversión Social v04.docx</t>
  </si>
  <si>
    <t>250721 PR-SS-RCI - Programa de Relacionamiento con Comunidades e Inversión Social v05.docx</t>
  </si>
  <si>
    <t>210524 PR-SS-RPI - Programa de Relacionamiento con Comunidades Indígenas v01.docx</t>
  </si>
  <si>
    <t>Relationship Program with Indigenous Communities</t>
  </si>
  <si>
    <t>210524 PR-SS-RPI - Relationship Program with Indigenous Communities v01.docx</t>
  </si>
  <si>
    <t>Programa de Relacionamiento con Comunidades Indígenas</t>
  </si>
  <si>
    <t>220104 PR-SS-RPI - Programa de Relacionamiento con Comunidades Indígenas v02.docx</t>
  </si>
  <si>
    <t>230528 PR-SS-RPI - Programa de Relacionamiento con Comunidades Indígenas v03.pdf</t>
  </si>
  <si>
    <t>230528 PR-SS-RPI - Programa de Relacionamiento con Comunidades Indígenas v03.docx</t>
  </si>
  <si>
    <t>240404 PR-SS-RPI - Programa de Relacionamiento con Comunidades Indígenas v04.docx</t>
  </si>
  <si>
    <t>250721 PR-SS-RPI - Programa de Relacionamiento con Comunidades Indígenas v05.docx</t>
  </si>
  <si>
    <t>210415 PR-SS-SEV - Programa de Seguridad Vial  v01.docx</t>
  </si>
  <si>
    <t>Road Safety Program</t>
  </si>
  <si>
    <t>210415 PR-SS-SEV - Road Safety Program v01.docx</t>
  </si>
  <si>
    <t>220104 PR-SS-SEV - Programa de Seguridad Vial  v02.docx</t>
  </si>
  <si>
    <t>230528 PR-SS-SEV - Programa de Seguridad Vial  v03.pdf</t>
  </si>
  <si>
    <t>230528 PR-SS-SEV - Programa de Seguridad Vial  v03.docx</t>
  </si>
  <si>
    <t>240404 PR-SS-SEV - Programa de Seguridad Vial  v04.docx</t>
  </si>
  <si>
    <t>250721 PR-SS-SEV - Programa de Seguridad Vial  v05.docx</t>
  </si>
  <si>
    <t>251216 PR-SS-SEV - Programa de Seguridad Vial  v06.docx</t>
  </si>
  <si>
    <t>210414 PR-SS-SSC - Programa de Salud y Seguridad Comunitaria  v01.docx</t>
  </si>
  <si>
    <t>Community Health and Safety Program</t>
  </si>
  <si>
    <t>210414 PR-SS-SSC - Community Health and Safety Program v01.docx</t>
  </si>
  <si>
    <t>220104 PR-SS-SSC - Programa de Salud y Seguridad Comunitaria  v02.docx</t>
  </si>
  <si>
    <t>230528 PR-SS-SSC - Programa de Salud y Seguridad Comunitaria  v03.pdf</t>
  </si>
  <si>
    <t>230528 PR-SS-SSC - Programa de Salud y Seguridad Comunitaria  v03.docx</t>
  </si>
  <si>
    <t>240404 PR-SS-SSC - Programa de Salud y Seguridad Comunitaria  v04.docx</t>
  </si>
  <si>
    <t>250721 PR-SS-SSC - Programa de Salud y Seguridad Comunitaria  v05.docx</t>
  </si>
  <si>
    <t>251209 PR-SS-SSC - Programa de Salud y Seguridad Comunitaria  v06.docx</t>
  </si>
  <si>
    <t>Nombre Ficha</t>
  </si>
  <si>
    <t>Código Programa</t>
  </si>
  <si>
    <t>Propósito</t>
  </si>
  <si>
    <t>Necesidad</t>
  </si>
  <si>
    <t>Nº Targets</t>
  </si>
  <si>
    <t>Presupuesto Total USD</t>
  </si>
  <si>
    <t>2025-06-04</t>
  </si>
  <si>
    <t>250604 - FICHA TÉCNICA -  PROGRAMA DE DESARROLLO Y VINCULACIÓN CON LA MANO DE OBRA LOCAL v01.xlsx</t>
  </si>
  <si>
    <t>250604 - FICHA TÉCNICA - EMPODERAMIENTO DE LA MUJER v01.xlsx</t>
  </si>
  <si>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</si>
  <si>
    <t>250604- FICHA TÉCNICA - GESTIÓN DE EMPRESAS CONTRATISTAS v00.xlsx</t>
  </si>
  <si>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t>
  </si>
  <si>
    <t>250604- FICHA TÉCNICA - SALUD Y SEGURIDAD COMUNITARIA v01.xlsx</t>
  </si>
  <si>
    <t>2025-06-05</t>
  </si>
  <si>
    <t>250605- FICHA TÉCNICA - MANEJO SOCIAL v01.xlsx</t>
  </si>
  <si>
    <t>2025-06-09</t>
  </si>
  <si>
    <t>Prevenir y dar una pronta respuesta ante contingencias sociales, tanto en las etapas constructiva y operativa de Paracel en su componente industrial, como en las etapas de instalación, operación y mantenimiento del componente forestal.</t>
  </si>
  <si>
    <t>250609 - FICHA TÉCNICA - PREVENCIÓN CONTINGENCIAS SOCIALES v01.xlsx</t>
  </si>
  <si>
    <t>2025-06-11</t>
  </si>
  <si>
    <t>Prevenir conflictos con terceros (propietarios/as de inmuebles utilizados como servidumbre) y delinear protocolos internos para garantizar la seguridad de las personas que conforman los equipos de Paracel y sus empresas contratistas.</t>
  </si>
  <si>
    <t>250611 - FICHA TÉCNICA -  MANEJO INTERNO POR AFECTACIÓN DE TIERRAS Y RIESGO POR AGENTES EXTERNOS v00.xlsx</t>
  </si>
  <si>
    <t>2025-06-18</t>
  </si>
  <si>
    <t>Garantizar atención a las quejas, sugerencias y consultas de la población de las áreas de influencia de Paracel, colaboradores/as propios/as y de empresas proveedoras, pueblos indígenas y de la población en general, estableciendo canales de comunicación permanentes.</t>
  </si>
  <si>
    <t>250618- FICHA TÉCNICA - GESTIÓN DE QUEJAS, CONSULTAS Y SUGERENCIAS v01.xlsx</t>
  </si>
  <si>
    <t>250618- FICHA TÉCNICA - PATRIMONIO CULTURAL v01.xlsx</t>
  </si>
  <si>
    <t>APICULTURA</t>
  </si>
  <si>
    <t>2025-06-22</t>
  </si>
  <si>
    <t>- Falta de diversificación de rubros en seguridad alimentaria de las familias indígenas.
 - Técnicas apícolas desactualizadas que afectan y ponen en peligro al medio ambiente.
 - Dificultad en producc</t>
  </si>
  <si>
    <t>250622 - FICHA TÉCNICA - APICULTURA.xlsx</t>
  </si>
  <si>
    <t>250622 - FICHA TÉCNICA -INFRAESTRUCTURA SOCIAL v01.xlsx</t>
  </si>
  <si>
    <t>2025-06-23</t>
  </si>
  <si>
    <t>250623 - FICHA TÉCNICA - ASOCIACIÓN DE PESCADORES v01.xlsx</t>
  </si>
  <si>
    <t>250623 - FICHA TÉCNICA - DESARROLLO DE PROVEEDORES LOCALES v01.xlsx</t>
  </si>
  <si>
    <t>PEQUEÑOS PRODUCTORES</t>
  </si>
  <si>
    <t>- Falta de seguridad alimentaria de las familias rurales e indígenas.
 - Dificultad en producción debido a la falta de conocimiento técnico, del cambios climaticos  y acceso a recursos (agua, semillas</t>
  </si>
  <si>
    <t>250623 - FICHA TÉCNICA -PEQUEÑOS PRODUCTORES v01.xlsx</t>
  </si>
  <si>
    <t>250623- FICHA TÉCNICA - COMUNIDADES INDÍGENAS v01.xlsx</t>
  </si>
  <si>
    <t>Target Nº</t>
  </si>
  <si>
    <t>Descripción</t>
  </si>
  <si>
    <t>Actividades</t>
  </si>
  <si>
    <t>Indicador</t>
  </si>
  <si>
    <t>Fórmula</t>
  </si>
  <si>
    <t>Fuente</t>
  </si>
  <si>
    <t>Periodicidad</t>
  </si>
  <si>
    <t>Productos</t>
  </si>
  <si>
    <t>Resultado Final</t>
  </si>
  <si>
    <t>Enero</t>
  </si>
  <si>
    <t>Febrero</t>
  </si>
  <si>
    <t>Marzo</t>
  </si>
  <si>
    <t>Abril</t>
  </si>
  <si>
    <t>Mayo</t>
  </si>
  <si>
    <t>Junio</t>
  </si>
  <si>
    <t>Julio</t>
  </si>
  <si>
    <t>Agosto</t>
  </si>
  <si>
    <t>Septiembre</t>
  </si>
  <si>
    <t>Octubre</t>
  </si>
  <si>
    <t>Noviembre</t>
  </si>
  <si>
    <t>Diciembre</t>
  </si>
  <si>
    <t>Meses Activos</t>
  </si>
  <si>
    <t>1. Selección de organizaciones aliadas para el desarrollo de las capacitaciones y las certificaciones. 
2. Suscribir convenios con instituciones educativas locales y nacionales con el fin de acordar un marco de cooperación para la formación y capacit</t>
  </si>
  <si>
    <t>4 | 6</t>
  </si>
  <si>
    <t>1 - Seleccionar a las personas jóvenes conforme a criterios de elegibilidad.
2 - Medición de la línea de base. 
3 - Buscar aliados estratégicos para la implementación del proyecto de becas (si aplica).
4 - Firma de carta compromiso. 
5- Llamado inter</t>
  </si>
  <si>
    <t>1. Indicadores socioeconómicos. 2. Número de personas beneficiadas clasificadas por edad, sexo, comunidad, etnía. 3. Nivel academico alcanzado por los padres/tutores - hermanos/as mayores. 4. Número d</t>
  </si>
  <si>
    <t>2 | 4</t>
  </si>
  <si>
    <t>1 | 5 | 6</t>
  </si>
  <si>
    <t>2 | 4 | 6</t>
  </si>
  <si>
    <t>7 | 8</t>
  </si>
  <si>
    <t xml:space="preserve">1 | 2 </t>
  </si>
  <si>
    <t>- Número de personas que participaron de los espacios desagregadas por sexo, edad, etnia, organización, etc.
 - Número de horas de los espacios.
 - Número de espacios propociados.
 - Número de temas a</t>
  </si>
  <si>
    <t>1. Selección de empresas contratistas a ser auditadas (el número de empresas puede aumentar dependiendo de los hallazgos de No Conformidades).
2. Desarrollo de las auditorías trimestrales.
3. Acompañamiento mensual para la revisión de los planes de a</t>
  </si>
  <si>
    <t xml:space="preserve">- Número de empresas auditadas.
 - Proporción de empresas auditadas con relación al número total de empresas.
 - Número total de hallazgos.
 - Número total de observaciones y oportunidades de mejora.
</t>
  </si>
  <si>
    <t>2 | 3 | 4</t>
  </si>
  <si>
    <t>3 | 4</t>
  </si>
  <si>
    <t>2 | 3</t>
  </si>
  <si>
    <t>3 | 4 | 5</t>
  </si>
  <si>
    <t>1. Desarrollar un plan de capacitación para las áreas administrativas de las empresas contratistas, sobre principios establecidos en los estándares y procesos documentales adoptados por Paracel.
2. Implementar las capacitaciones   conforme al plan de</t>
  </si>
  <si>
    <t>- Número de personas participantes clasificados por organización, cargo, rango etario, sexo, comunidad, etnia.
 - Número de horas de capacitación.
 - Número de temas desarrollados.
 - Datos sobre cono</t>
  </si>
  <si>
    <t>3| 4</t>
  </si>
  <si>
    <t>1.Lograr una vinculación cercana con las Unidades de Salud Familiar y los Centros de Salud del ADA y AID y con el Ministerio de Salud Pública y Bienestar Social, [a través de las regionales de salud de Concepción y Amambay].
2.Selección de las comuni</t>
  </si>
  <si>
    <t>- Número de alianzas firmadas.
 - Número de personas que participaron de las asistencia desagregadas por sexo, edad, etnia, comunidad, etc.
- Número de USF intervenidas.
 - Número de especialidades mé</t>
  </si>
  <si>
    <t>1 | 2</t>
  </si>
  <si>
    <t>1. Generar alianzas con la Primera Región Sanitaria.
2. Seleccionar las USF a ser intervenidas (PANI).
3. Distribución y entrega de las leches en las USF seleccionadas. 
4. Selección de las USF a ser intervenidas (PAI).
5. Jornadas de inmunización en</t>
  </si>
  <si>
    <t>- Número de alianzas firmadas.
 - Número de personas alcanzadas en la distribución de leche desagregadas por sexo, edad, etnia, comunidad, etc.
- Número de personas alcanzadas en jornadas de inmunizac</t>
  </si>
  <si>
    <t>1 | 2 | 4</t>
  </si>
  <si>
    <t>3 | 5 | 6</t>
  </si>
  <si>
    <t>1. Generar alianzas con la Cruz Roja Paraguaya, la Primera Región Sanitaria y el PRONASIDA.
2. Desarrollar capacitaciones / talleres sobre salud sexual y reproductiva, incluidos los de planificación familiar. Ayudar a tomar conciencia acerca de enfer</t>
  </si>
  <si>
    <t>- Número de alianzas generadas.
 - Número comunidades abordadas.
 - Número de personas beneficiadas desagregadas por sexo, edad, etnia, comunidad, etc.
 - Número de personas vinculadas al programa ext</t>
  </si>
  <si>
    <t>1 | 3</t>
  </si>
  <si>
    <t>1 | 4</t>
  </si>
  <si>
    <t>2 | 4 | 5 | 6 | 7</t>
  </si>
  <si>
    <t>2 | 5 | 8</t>
  </si>
  <si>
    <t xml:space="preserve">- Número de personas formadas como facilitadoras.
 - Número de instituciones representadas.
 - Número de personas alcanzadas en espacios de sensibilización clasificadas por edad y sexo. 
 - Número de </t>
  </si>
  <si>
    <t xml:space="preserve">1. Reuniones semestrales con pobladores del ADA, AID y con las comunidades indígena para transferir información sobre Paracel, acompañar y monitorear la percepción de los mismos con relación a Paracel.
2. Toma de datos acerca de la percepción de las </t>
  </si>
  <si>
    <t>1. Número de personas participantes por comunidad clasificadas, por edad, sexo, franja etaria, comunidad, etnia.
2. Índice de percepción.
3. Datos sobre migración 
4. Materiales desarrollados.
5. Núme</t>
  </si>
  <si>
    <t>1. Reuniones semestrales con los líderes y lideresas de las comunidades rurales e indígenas del área de influencia de Paracel, para la socialización y actualización de las actividades desarrolladas en el marco de los programas sociales de la empresa.</t>
  </si>
  <si>
    <t>1. Número de personas participantes por comunidad clasificadas, por edad, sexo, franja etaria, comunidad, etnia.
2. Índice de percepción.
3. Materiales desarrollados.
4. Número de personas de las dife</t>
  </si>
  <si>
    <t>1- Contratar a la empresa consultora para el desarrollo de los talleres, y/o generar alianzas.
2- Identificación y selección de comunidades a intervenir con el desarrollo de los espacios de concientización y capacitación de prevención de incendios fo</t>
  </si>
  <si>
    <t>1. Selección de organización con experiencia para la conformación de la brigada comunitaria en la comunidad indígena Takuarita.
2. Taller rural participativo para la conformación de brigada comunitaria con la comunidad indígena Takuarita.
3. Desarrol</t>
  </si>
  <si>
    <t>1.Actualización del mapeo de las propiedades utilizadas como acceso y salida (componente forestal e indígena), [con el área de Seguridad Corporativa para el diseño del corredor de accesos y/o caminos alternativos a ser utilizados por personas externa</t>
  </si>
  <si>
    <t>1- N° de propiedades a ser utilizadas como servidumbre de paso
2- N° de documentos elaborados
3- N° de comunicados elaborados
4- N° de comunicados emitidos
5- N° de reuniones
6- N° de personas partici</t>
  </si>
  <si>
    <t>4 | 5</t>
  </si>
  <si>
    <t>1. Solicitar al área de Compras/Seguridad Corporativa un informe trimestral sobre registros de entrenamiento en temas de Derechos Humanos a colaboradores/as de empresas proveedoras de servicios de seguridad y control de acceso. Paracel resguardará qu</t>
  </si>
  <si>
    <t>1- N° de personas trabajando en el área de seguridad y control de acceso (clasificadas, edad, sexo, comunidad, etnia, región, etc.).
2- N° de personas formadas en materia de Derechos Humanos clasifica</t>
  </si>
  <si>
    <t>1. Funcionamiento del canal externo de atención de quejas.
2. Socializar el procedimiento de gestión de quejas, sugerencias y consultas con todas las partes interesadas de Paracel y los canales correspondientes.
3. Seguimiento y verificación del func</t>
  </si>
  <si>
    <t>- Número de quejas, consultas y sugerencias clasificadas por tipo y origen interno (nómina) y externo (contratistas y comunidad).
 - Número de actividades/acciones de socialización.
 - Número de perso</t>
  </si>
  <si>
    <t>1 | 3 | 4 | 6</t>
  </si>
  <si>
    <t>1. Revisión y reubicación de los buzones en las comunidades e instalaciones de Paracel en caso de necesidad.
2. Comunicación de las ubicaciones de los buzones.
3. Monitoreo de los registros recolectados en los buzones (internos cada 15 días y comunit</t>
  </si>
  <si>
    <t xml:space="preserve">- Número de buzones instalados en las comunidades e instalaciones de Paracel.
 - Número de quejas, consultas y sugerencias recibidas en cada buzón, clasificadas por tipo y zona geográfica. 
 - Número </t>
  </si>
  <si>
    <t xml:space="preserve">N.º de visitas de monitoreo realizadas en campo.
N.º de empresas contratistas alcanzadas.
N.º de colaboradores/as alcanzados/as.
N.º de personas referentes identificadas y registradas para el reporte </t>
  </si>
  <si>
    <t>1. Creación de un catálogo de las artesanías de la comunidad indígena.
2. Soporte logístico para obtención de materia prima para la elaboración de los productos artesanales.
3. Identificación de puntos de venta y generación de alianzas para la comerc</t>
  </si>
  <si>
    <t>N.º de ferias y/o exposiciones en las que se participó
N.º de emprendedores/as participantes por evento
Volumen de ventas alcanzado por feria/exposición
N.º de catálogos de artesanías creados y distri</t>
  </si>
  <si>
    <t>1. Seleccionar a las comunidades beneficiarias según críterios de elegibilidad.
2. Firma de cartas de compromiso con todas las comunidades seleccionadas (beneficiarias).
3. Toma de datos para establecimiento de la línea de base (comunitaria).
4. Toma</t>
  </si>
  <si>
    <t xml:space="preserve">1 | 2 | 3 | 4 </t>
  </si>
  <si>
    <t>1 | 2 | 3 | 4| 5 | 6 | 7</t>
  </si>
  <si>
    <t>3 | 4| 5 | 6 | 7</t>
  </si>
  <si>
    <t>5 | 6 | 7</t>
  </si>
  <si>
    <t xml:space="preserve">5| 6 |7 </t>
  </si>
  <si>
    <t xml:space="preserve">5 | 6 | 7|  8 </t>
  </si>
  <si>
    <t>1. Identificación de asociaciones y registro de pescadores.
2.Capacitaciones (formalización, comercialización, gestión).
3. Apoyo a la formalización y acceso a mercados.
4. Creación de alianzas y nuevos canales de venta.
5. Evaluación, contratacion d</t>
  </si>
  <si>
    <t xml:space="preserve">N° de asociaciones de pescadores beneficiadas
N° de pescadores/as beneficiados/as, clasificados por edad, sexo, barrio y etnia
N° de capacitación realizadas por asociación
N° de participantes en cada </t>
  </si>
  <si>
    <t>1 | 10</t>
  </si>
  <si>
    <t>2 |3 |5 |6 |7 | 8| 11</t>
  </si>
  <si>
    <t>2| 3| 4| 7| 8| 9</t>
  </si>
  <si>
    <t>2 | 3| 4| 7| 8| 9</t>
  </si>
  <si>
    <t>4| 9| 12| 13</t>
  </si>
  <si>
    <t>1. Desarrollar un proyecto piloto de valor compartido con foco en la estrategia 2: inclusión en la cadena de valor de Paracel a [pequeños/as productores/as] forestales (vinculado a los plazos del área de Fomento Forestal.
2. Generar alianzas con orga</t>
  </si>
  <si>
    <t>- Número de plantines donados/entregados como capital semilla.
- Número de alianzas alcanzadas.
- Número de personas vinculadas al proyecto externas a Paracel (por actividad).
- Monto de inversión dir</t>
  </si>
  <si>
    <t>1 | 2 | 3</t>
  </si>
  <si>
    <t>1 | 2 | 3 | 4</t>
  </si>
  <si>
    <t>1. Búsqueda y generación de alianzas y/o acuerdos para el desarrollo de espacios de networking y/o capacitación.
2. Planificación de la jornada de networking y/o espacios de capacitación.
3. Coordinación logística (lugar, insumos, convocatoria).
4. R</t>
  </si>
  <si>
    <t xml:space="preserve">N° de emprendedores inscritos y asistentes (Clasificados por edad, sexo, etnia, localidad, departamento).
N° de rubros presentes en el evento.
Cantidad de empresas por tamaño (micro, pequeña, mediana </t>
  </si>
  <si>
    <t>5 | 6</t>
  </si>
  <si>
    <t>1- Realizar encuentros de socialización de avances de Paracel y los programas socioambientales en las comunidades indígenas dentro del AID.
2- Convenir con las comunidades indígenas el cumplimiento del proceso de “Consulta y Consentimiento, Libre, Pr</t>
  </si>
  <si>
    <t>A01- Número de personas participantes del proceso de consulta prevía, libre e informada por comunidad y clasificada por franja etaria, sexo, grado de instrucción, etc.
 A02- Proporción participación d</t>
  </si>
  <si>
    <t>1. Desarrollo de Plan de uso de servicios ecosistemicos
2. Socializacion del Plan de Uso de Servicios con los lideres y lideresas de las comunidades indígenas
3. Socialización del Plan de Uso de Servicios ecosistémicos con la comunidades indígenas
4.</t>
  </si>
  <si>
    <t>A01- Usos de servicios ecosistémicos identificados (tipo, superficie, estancias, personas que hacen uso, distancias de recorrido para uso, metodología de uso)
A02- Plan de manejo de servicios ecosisté</t>
  </si>
  <si>
    <t>1. Mantener comunicación con líderes comunitarios.
2. Coordinar la participación de líderes y/o lideresas en las actividades abiertas (capacitaciones, espacios de vinculación con entidades estatales, etc.) desarrolladas por Paracel.
3. Invitar y moni</t>
  </si>
  <si>
    <t>A01- Número de materiales entregados.
 A02- Número de vinculaciones por tipo (reuniones, invitaciones, contacto telefónico, etc).
 A02- Número de personas alcanzadas.
 A02- Número de consultas, expect</t>
  </si>
  <si>
    <t>A01 - Cantidad de cédulas (Primera vez).
A02 - Actas de nacimiento por edad (Niños menores de 0 a 4 años).
A03 - Cantidad de documentaciones gestionados y obtenidos según tipo (Clasificado por edad, e</t>
  </si>
  <si>
    <t>1. Analizar el alcance actual de programas de gobierno para provision de alimento escolar
2. Monitorear la entrega de alimento escolar complementaria
3. Proveer alimento complementario según resultados del análisis desarrollado
4. Encuesta respecto a</t>
  </si>
  <si>
    <t>A01 - Instituciones alcanzadas (distrito y tipo de comunidad).
A02 - Número de niños alcanzados según RUE.
A03 - Número de niños alcanzados (real).
A04 - Kg de alimentos entregados.
A05 - Proporción d</t>
  </si>
  <si>
    <t>A01 - Número de gestiones clasificadas por documentación de identidad, documentación comunitaria, salud, seguridad, acceso a servicios básicos, etc.
 A02 - Número de instituciones (desagregadas).
 A03</t>
  </si>
  <si>
    <t>Fórmula de Cálculo</t>
  </si>
  <si>
    <t>Fuente de Verificación</t>
  </si>
  <si>
    <t>Raw (original)</t>
  </si>
  <si>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t>
  </si>
  <si>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t>
  </si>
  <si>
    <t xml:space="preserve">-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t>
  </si>
  <si>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t>
  </si>
  <si>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t>
  </si>
  <si>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t>
  </si>
  <si>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t>
  </si>
  <si>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t>
  </si>
  <si>
    <t>1. Número de personas participantes por comunidad y/u otros grupos de interés, clasificadas por edad, sexo, franja etaria, comunidad, etnia.
2. Porcentaje de conocimientos adquiridos.
3. Número de consultor y/o aliados involucrados.
4. Número de actividades desarrolladas clasificadas por comunidad (área geográfica). 
7. Horas de capacitación y sensibilización impartidas.
8. N° de talleres rurales participativos desarrollados y cantidad de personas participantes clasificadas por edad, sexo, franja etaria, etc.
9. N° de temas claves resultantes del taller.</t>
  </si>
  <si>
    <t>1. Número de personas participantes por comunidad y/u otros grupos de interés, clasificadas por edad, sexo, franja etaria, comunidad, etnia.
2. Porcentaje de conocimientos adquiridos.
3. Número de consultor y/o aliados involucrados.
4. Número de actividades desarrolladas clasificadas por comunidad (</t>
  </si>
  <si>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t>
  </si>
  <si>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t>
  </si>
  <si>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t>
  </si>
  <si>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t>
  </si>
  <si>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t>
  </si>
  <si>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t>
  </si>
  <si>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t>
  </si>
  <si>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t>
  </si>
  <si>
    <t>REGISTRO MAESTRO PROGRAMAS Y FICHAS DE COMUNICACIÓN Y SUSTENTABILIDAD SOCIAL</t>
  </si>
  <si>
    <t>01_RESUMEN</t>
  </si>
  <si>
    <t>01. RESUMEN EJECUTIVO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</si>
</sst>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m\-dd"/>
  </numFmts>
  <fonts count="12" x14ac:knownFonts="1">
    <font>
      <sz val="11"/>
      <color theme="1"/>
      <name val="Calibri"/>
      <family val="2"/>
      <scheme val="minor"/>
    </font>
    <font>
      <b/>
      <sz val="10"/>
      <color rgb="FFFFFFFF"/>
      <name val="Calibri"/>
      <family val="2"/>
    </font>
    <font>
      <b/>
      <sz val="16"/>
      <color rgb="FFFFFFFF"/>
      <name val="Calibri"/>
      <family val="2"/>
    </font>
    <font>
      <i/>
      <sz val="10"/>
      <color rgb="FF111827"/>
      <name val="Calibri"/>
      <family val="2"/>
    </font>
    <font>
      <b/>
      <sz val="11"/>
      <color rgb="FFFFFFFF"/>
      <name val="Calibri"/>
      <family val="2"/>
    </font>
    <font>
      <sz val="12"/>
      <color theme="10"/>
      <name val="Calibri"/>
      <family val="2"/>
      <scheme val="minor"/>
    </font>
    <font>
      <b/>
      <sz val="11"/>
      <color rgb="FF17412A"/>
      <name val="Calibri"/>
      <family val="2"/>
    </font>
    <font>
      <sz val="11"/>
      <color rgb="FF111827"/>
      <name val="Calibri"/>
      <family val="2"/>
    </font>
    <font>
      <b/>
      <sz val="11"/>
      <color rgb="FF111827"/>
      <name val="Calibri"/>
      <family val="2"/>
    </font>
    <font>
      <b/>
      <sz val="11"/>
      <name val="Calibri"/>
      <family val="2"/>
    </font>
    <font>
      <b/>
      <sz val="15"/>
      <color rgb="FF17412A"/>
      <name val="Calibri"/>
      <family val="2"/>
    </font>
    <font>
      <u/>
      <sz val="11"/>
      <color theme="10"/>
      <name val="Calibri"/>
      <family val="2"/>
      <scheme val="minor"/>
    </font>
  </fonts>
  <fills count="15">
    <fill>
      <patternFill patternType="none"/>
    </fill>
    <fill>
      <patternFill patternType="gray125"/>
    </fill>
    <fill>
      <patternFill patternType="solid">
        <fgColor rgb="FF205527"/>
      </patternFill>
    </fill>
    <fill>
      <patternFill patternType="solid">
        <fgColor rgb="FFF2F8F0"/>
      </patternFill>
    </fill>
    <fill>
      <patternFill patternType="solid">
        <fgColor rgb="FFFFF3E0"/>
      </patternFill>
    </fill>
    <fill>
      <patternFill patternType="solid">
        <fgColor rgb="FF17412A"/>
      </patternFill>
    </fill>
    <fill>
      <patternFill patternType="solid">
        <fgColor rgb="FFEAF3EE"/>
      </patternFill>
    </fill>
    <fill>
      <patternFill patternType="solid">
        <fgColor rgb="FF1F5E3B"/>
      </patternFill>
    </fill>
    <fill>
      <patternFill patternType="solid">
        <fgColor rgb="FFFFFFFF"/>
      </patternFill>
    </fill>
    <fill>
      <patternFill patternType="solid">
        <fgColor rgb="FFF3F4F6"/>
      </patternFill>
    </fill>
    <fill>
      <patternFill patternType="solid">
        <fgColor rgb="FFFAFCFB"/>
      </patternFill>
    </fill>
    <fill>
      <patternFill patternType="solid">
        <fgColor rgb="FFFDEAEA"/>
      </patternFill>
    </fill>
    <fill>
      <patternFill patternType="solid">
        <fgColor rgb="FFD9F0F0"/>
      </patternFill>
    </fill>
    <fill>
      <patternFill patternType="solid">
        <fgColor rgb="FFDCEBFA"/>
      </patternFill>
    </fill>
    <fill>
      <patternFill patternType="solid">
        <fgColor rgb="FFFFF4CC"/>
      </patternFill>
    </fill>
  </fills>
  <borders count="11">
    <border>
      <left/>
      <right/>
      <top/>
      <bottom/>
      <diagonal/>
    </border>
    <border>
      <left style="thin">
        <color rgb="FFCCCCCC"/>
      </left>
      <right style="thin">
        <color rgb="FFCCCCCC"/>
      </right>
      <top style="thin">
        <color rgb="FFCCCCCC"/>
      </top>
      <bottom style="thin">
        <color rgb="FFCCCCCC"/>
      </bottom>
      <diagonal/>
    </border>
    <border>
      <left/>
      <right/>
      <top style="thin">
        <color rgb="FFEEEEEE"/>
      </top>
      <bottom style="thin">
        <color rgb="FFEEEEEE"/>
      </bottom>
      <diagonal/>
    </border>
    <border>
      <left style="thin">
        <color rgb="FFD1D5DB"/>
      </left>
      <right style="thin">
        <color rgb="FFD1D5DB"/>
      </right>
      <top style="thin">
        <color rgb="FFD1D5DB"/>
      </top>
      <bottom style="thin">
        <color rgb="FFD1D5DB"/>
      </bottom>
      <diagonal/>
    </border>
    <border>
      <left/>
      <right/>
      <top style="thin">
        <color rgb="FFD1D5DB"/>
      </top>
      <bottom/>
      <diagonal/>
    </border>
    <border>
      <left/>
      <right style="thin">
        <color rgb="FFD1D5DB"/>
      </right>
      <top style="thin">
        <color rgb="FFD1D5DB"/>
      </top>
      <bottom/>
      <diagonal/>
    </border>
    <border>
      <left/>
      <right/>
      <top style="thin">
        <color rgb="FFD1D5DB"/>
      </top>
      <bottom style="thin">
        <color rgb="FFD1D5DB"/>
      </bottom>
      <diagonal/>
    </border>
    <border>
      <left/>
      <right style="thin">
        <color rgb="FFD1D5DB"/>
      </right>
      <top style="thin">
        <color rgb="FFD1D5DB"/>
      </top>
      <bottom style="thin">
        <color rgb="FFD1D5DB"/>
      </bottom>
      <diagonal/>
    </border>
    <border>
      <left style="thin">
        <color rgb="FFD1D5DB"/>
      </left>
      <right/>
      <top/>
      <bottom style="thin">
        <color rgb="FFD1D5DB"/>
      </bottom>
      <diagonal/>
    </border>
    <border>
      <left/>
      <right/>
      <top/>
      <bottom style="thin">
        <color rgb="FFD1D5DB"/>
      </bottom>
      <diagonal/>
    </border>
    <border>
      <left/>
      <right style="thin">
        <color rgb="FFD1D5DB"/>
      </right>
      <top/>
      <bottom style="thin">
        <color rgb="FFD1D5DB"/>
      </bottom>
      <diagonal/>
    </border>
  </borders>
  <cellStyleXfs count="3">
    <xf numFmtId="0" fontId="0" fillId="0" borderId="0"/>
    <xf numFmtId="0" fontId="5" fillId="0" borderId="0"/>
    <xf numFmtId="0" fontId="11" fillId="0" borderId="0" applyNumberFormat="0" applyFill="0" applyBorder="0" applyAlignment="0" applyProtection="0"/>
  </cellStyleXfs>
  <cellXfs count="60">
    <xf numFmtId="0" fontId="0" fillId="0" borderId="0" xfId="0"/>
    <xf numFmtId="0" fontId="1" fillId="2" borderId="1" xfId="0" applyFont="1" applyFill="1" applyBorder="1" applyAlignment="1">
      <alignment horizontal="center" vertical="center" wrapText="1"/>
    </xf>
    <xf numFmtId="0" fontId="0" fillId="3" borderId="2" xfId="0" applyFill="1" applyBorder="1" applyAlignment="1">
      <alignment vertical="top" wrapText="1"/>
    </xf>
    <xf numFmtId="0" fontId="0" fillId="0" borderId="2" xfId="0" applyBorder="1" applyAlignment="1">
      <alignment vertical="top" wrapText="1"/>
    </xf>
    <xf numFmtId="0" fontId="0" fillId="4" borderId="2" xfId="0" applyFill="1" applyBorder="1" applyAlignment="1">
      <alignment vertical="top" wrapText="1"/>
    </xf>
    <xf numFmtId="0" fontId="4" fillId="7" borderId="3" xfId="0" applyFont="1" applyFill="1" applyBorder="1"/>
    <xf numFmtId="0" fontId="0" fillId="0" borderId="3" xfId="0" applyBorder="1" applyAlignment="1">
      <alignment vertical="top" wrapText="1"/>
    </xf>
    <xf numFmtId="0" fontId="0" fillId="6" borderId="3" xfId="0" applyFill="1" applyBorder="1" applyAlignment="1">
      <alignment vertical="center" wrapText="1"/>
    </xf>
    <xf numFmtId="0" fontId="0" fillId="8" borderId="3" xfId="0" applyFill="1" applyBorder="1" applyAlignment="1">
      <alignment vertical="center" wrapText="1"/>
    </xf>
    <xf numFmtId="0" fontId="4" fillId="7" borderId="0" xfId="0" applyFont="1" applyFill="1"/>
    <xf numFmtId="0" fontId="0" fillId="9" borderId="3" xfId="0" applyFill="1" applyBorder="1"/>
    <xf numFmtId="0" fontId="6" fillId="8" borderId="3" xfId="0" applyFont="1" applyFill="1" applyBorder="1" applyAlignment="1">
      <alignment horizontal="center"/>
    </xf>
    <xf numFmtId="0" fontId="0" fillId="9" borderId="3" xfId="0" applyFill="1" applyBorder="1" applyAlignment="1">
      <alignment vertical="center" wrapText="1"/>
    </xf>
    <xf numFmtId="0" fontId="4" fillId="5" borderId="0" xfId="0" applyFont="1" applyFill="1"/>
    <xf numFmtId="0" fontId="4" fillId="7" borderId="3" xfId="0" applyFont="1" applyFill="1" applyBorder="1" applyAlignment="1">
      <alignment horizontal="center" vertical="center" wrapText="1"/>
    </xf>
    <xf numFmtId="0" fontId="0" fillId="8" borderId="3" xfId="0" applyFill="1" applyBorder="1" applyAlignment="1">
      <alignment vertical="top" wrapText="1"/>
    </xf>
    <xf numFmtId="0" fontId="0" fillId="8" borderId="3" xfId="0" applyFill="1" applyBorder="1" applyAlignment="1">
      <alignment vertical="top"/>
    </xf>
    <xf numFmtId="3" fontId="0" fillId="8" borderId="3" xfId="0" applyNumberFormat="1" applyFill="1" applyBorder="1" applyAlignment="1">
      <alignment vertical="top"/>
    </xf>
    <xf numFmtId="164" fontId="0" fillId="8" borderId="3" xfId="0" applyNumberFormat="1" applyFill="1" applyBorder="1" applyAlignment="1">
      <alignment vertical="top"/>
    </xf>
    <xf numFmtId="0" fontId="0" fillId="10" borderId="3" xfId="0" applyFill="1" applyBorder="1" applyAlignment="1">
      <alignment vertical="top"/>
    </xf>
    <xf numFmtId="0" fontId="0" fillId="10" borderId="3" xfId="0" applyFill="1" applyBorder="1" applyAlignment="1">
      <alignment vertical="top" wrapText="1"/>
    </xf>
    <xf numFmtId="3" fontId="0" fillId="10" borderId="3" xfId="0" applyNumberFormat="1" applyFill="1" applyBorder="1" applyAlignment="1">
      <alignment vertical="top"/>
    </xf>
    <xf numFmtId="164" fontId="0" fillId="10" borderId="3" xfId="0" applyNumberFormat="1" applyFill="1" applyBorder="1" applyAlignment="1">
      <alignment vertical="top"/>
    </xf>
    <xf numFmtId="165" fontId="0" fillId="8" borderId="3" xfId="0" applyNumberFormat="1" applyFill="1" applyBorder="1" applyAlignment="1">
      <alignment vertical="top" wrapText="1"/>
    </xf>
    <xf numFmtId="0" fontId="7" fillId="8" borderId="3" xfId="0" applyFont="1" applyFill="1" applyBorder="1" applyAlignment="1">
      <alignment vertical="top"/>
    </xf>
    <xf numFmtId="3" fontId="7" fillId="8" borderId="3" xfId="0" applyNumberFormat="1" applyFont="1" applyFill="1" applyBorder="1" applyAlignment="1">
      <alignment vertical="top" wrapText="1"/>
    </xf>
    <xf numFmtId="164" fontId="7" fillId="8" borderId="3" xfId="0" applyNumberFormat="1" applyFont="1" applyFill="1" applyBorder="1" applyAlignment="1">
      <alignment vertical="top"/>
    </xf>
    <xf numFmtId="1" fontId="7" fillId="8" borderId="3" xfId="0" applyNumberFormat="1" applyFont="1" applyFill="1" applyBorder="1" applyAlignment="1">
      <alignment vertical="top"/>
    </xf>
    <xf numFmtId="0" fontId="8" fillId="8" borderId="3" xfId="0" applyFont="1" applyFill="1" applyBorder="1" applyAlignment="1">
      <alignment vertical="top"/>
    </xf>
    <xf numFmtId="165" fontId="0" fillId="10" borderId="3" xfId="0" applyNumberFormat="1" applyFill="1" applyBorder="1" applyAlignment="1">
      <alignment vertical="top" wrapText="1"/>
    </xf>
    <xf numFmtId="0" fontId="7" fillId="10" borderId="3" xfId="0" applyFont="1" applyFill="1" applyBorder="1" applyAlignment="1">
      <alignment vertical="top"/>
    </xf>
    <xf numFmtId="3" fontId="7" fillId="10" borderId="3" xfId="0" applyNumberFormat="1" applyFont="1" applyFill="1" applyBorder="1" applyAlignment="1">
      <alignment vertical="top" wrapText="1"/>
    </xf>
    <xf numFmtId="164" fontId="7" fillId="10" borderId="3" xfId="0" applyNumberFormat="1" applyFont="1" applyFill="1" applyBorder="1" applyAlignment="1">
      <alignment vertical="top"/>
    </xf>
    <xf numFmtId="1" fontId="7" fillId="10" borderId="3" xfId="0" applyNumberFormat="1" applyFont="1" applyFill="1" applyBorder="1" applyAlignment="1">
      <alignment vertical="top"/>
    </xf>
    <xf numFmtId="0" fontId="8" fillId="10" borderId="3" xfId="0" applyFont="1" applyFill="1" applyBorder="1" applyAlignment="1">
      <alignment vertical="top"/>
    </xf>
    <xf numFmtId="0" fontId="0" fillId="0" borderId="3" xfId="0" applyBorder="1" applyAlignment="1">
      <alignment vertical="top"/>
    </xf>
    <xf numFmtId="0" fontId="0" fillId="8" borderId="3" xfId="0" applyFill="1" applyBorder="1" applyAlignment="1">
      <alignment horizontal="center"/>
    </xf>
    <xf numFmtId="0" fontId="9" fillId="8" borderId="3" xfId="0" applyFont="1" applyFill="1" applyBorder="1" applyAlignment="1">
      <alignment vertical="top"/>
    </xf>
    <xf numFmtId="0" fontId="0" fillId="10" borderId="3" xfId="0" applyFill="1" applyBorder="1" applyAlignment="1">
      <alignment horizontal="center"/>
    </xf>
    <xf numFmtId="0" fontId="9" fillId="10" borderId="3" xfId="0" applyFont="1" applyFill="1" applyBorder="1" applyAlignment="1">
      <alignment vertical="top"/>
    </xf>
    <xf numFmtId="0" fontId="2" fillId="5" borderId="0" xfId="0" applyFont="1" applyFill="1" applyAlignment="1">
      <alignment horizontal="left" vertical="center"/>
    </xf>
    <xf numFmtId="0" fontId="0" fillId="0" borderId="0" xfId="0"/>
    <xf numFmtId="0" fontId="0" fillId="0" borderId="3" xfId="0" applyBorder="1" applyAlignment="1">
      <alignment vertical="top" wrapText="1"/>
    </xf>
    <xf numFmtId="0" fontId="0" fillId="0" borderId="6" xfId="0" applyBorder="1"/>
    <xf numFmtId="0" fontId="0" fillId="0" borderId="7" xfId="0" applyBorder="1"/>
    <xf numFmtId="0" fontId="3" fillId="6" borderId="0" xfId="0" applyFont="1" applyFill="1" applyAlignment="1">
      <alignment vertical="center" wrapText="1"/>
    </xf>
    <xf numFmtId="0" fontId="10" fillId="12" borderId="3" xfId="0" applyFont="1" applyFill="1" applyBorder="1" applyAlignment="1">
      <alignment horizontal="center" vertical="center"/>
    </xf>
    <xf numFmtId="0" fontId="0" fillId="0" borderId="4" xfId="0" applyBorder="1"/>
    <xf numFmtId="0" fontId="0" fillId="0" borderId="5" xfId="0" applyBorder="1"/>
    <xf numFmtId="0" fontId="0" fillId="0" borderId="8" xfId="0" applyBorder="1"/>
    <xf numFmtId="0" fontId="0" fillId="0" borderId="9" xfId="0" applyBorder="1"/>
    <xf numFmtId="0" fontId="0" fillId="0" borderId="10" xfId="0" applyBorder="1"/>
    <xf numFmtId="0" fontId="0" fillId="8" borderId="3" xfId="0" applyFill="1" applyBorder="1" applyAlignment="1">
      <alignment vertical="top" wrapText="1"/>
    </xf>
    <xf numFmtId="0" fontId="10" fillId="11" borderId="3" xfId="0" applyFont="1" applyFill="1" applyBorder="1" applyAlignment="1">
      <alignment horizontal="center" vertical="center"/>
    </xf>
    <xf numFmtId="0" fontId="4" fillId="7" borderId="3" xfId="0" applyFont="1" applyFill="1" applyBorder="1" applyAlignment="1">
      <alignment horizontal="center"/>
    </xf>
    <xf numFmtId="0" fontId="10" fillId="14" borderId="3" xfId="0" applyFont="1" applyFill="1" applyBorder="1" applyAlignment="1">
      <alignment horizontal="center" vertical="center"/>
    </xf>
    <xf numFmtId="0" fontId="10" fillId="9" borderId="3" xfId="0" applyFont="1" applyFill="1" applyBorder="1" applyAlignment="1">
      <alignment horizontal="center" vertical="center"/>
    </xf>
    <xf numFmtId="0" fontId="10" fillId="6" borderId="3" xfId="0" applyFont="1" applyFill="1" applyBorder="1" applyAlignment="1">
      <alignment horizontal="center" vertical="center"/>
    </xf>
    <xf numFmtId="0" fontId="10" fillId="13" borderId="3" xfId="0" applyFont="1" applyFill="1" applyBorder="1" applyAlignment="1">
      <alignment horizontal="center" vertical="center"/>
    </xf>
    <xf numFmtId="0" fontId="11" fillId="0" borderId="0" xfId="2"/>
  </cellXfs>
  <cellStyles count="3">
    <cellStyle name="Hipervínculo" xfId="2" builtinId="8"/>
    <cellStyle name="Hyperlink" xfId="1" xr:uid="{00000000-0005-0000-0000-000001000000}"/>
    <cellStyle name="Normal" xfId="0" builtinId="0"/>
  </cellStyles>
  <dxfs count="2">
    <dxf>
      <font>
        <color rgb="FF006100"/>
      </font>
      <fill>
        <patternFill>
          <bgColor rgb="FFC6EFCE"/>
        </patternFill>
      </fill>
    </dxf>
    <dxf>
      <fill>
        <patternFill>
          <bgColor rgb="FFFDEAE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
  <sheetViews>
    <sheetView showGridLines="0" tabSelected="1" workbookViewId="0">
      <selection activeCell="B9" sqref="B9"/>
    </sheetView>
  </sheetViews>
  <sheetFormatPr baseColWidth="10" defaultColWidth="8.7265625" defaultRowHeight="14.5" x14ac:dyDescent="0.35"/>
  <cols>
    <col min="1" max="1" width="10" customWidth="1"/>
    <col min="2" max="2" width="30" customWidth="1"/>
    <col min="3" max="3" width="72" customWidth="1"/>
    <col min="5" max="5" width="28" customWidth="1"/>
    <col min="6" max="6" width="16" customWidth="1"/>
  </cols>
  <sheetData>
    <row r="1" spans="1:9" ht="24" customHeight="1" x14ac:dyDescent="0.35">
      <c r="A1" s="40" t="s">
        <v>1258</v>
      </c>
      <c r="B1" s="41"/>
      <c r="C1" s="41"/>
      <c r="D1" s="41"/>
      <c r="E1" s="41"/>
      <c r="F1" s="41"/>
      <c r="G1" s="41"/>
      <c r="H1" s="41"/>
      <c r="I1" s="41"/>
    </row>
    <row r="2" spans="1:9" ht="28" customHeight="1" x14ac:dyDescent="0.35">
      <c r="A2" s="45" t="s">
        <v>0</v>
      </c>
      <c r="B2" s="41"/>
      <c r="C2" s="41"/>
      <c r="D2" s="41"/>
      <c r="E2" s="41"/>
      <c r="F2" s="41"/>
      <c r="G2" s="41"/>
      <c r="H2" s="41"/>
      <c r="I2" s="41"/>
    </row>
    <row r="4" spans="1:9" x14ac:dyDescent="0.35">
      <c r="A4" s="5" t="s">
        <v>1</v>
      </c>
      <c r="B4" s="42" t="s">
        <v>2</v>
      </c>
      <c r="C4" s="43"/>
      <c r="D4" s="43"/>
      <c r="E4" s="43"/>
      <c r="F4" s="43"/>
      <c r="G4" s="43"/>
      <c r="H4" s="43"/>
      <c r="I4" s="44"/>
    </row>
    <row r="6" spans="1:9" x14ac:dyDescent="0.35">
      <c r="A6" s="7" t="s">
        <v>3</v>
      </c>
      <c r="B6" s="59" t="s">
        <v>1259</v>
      </c>
      <c r="C6" s="8" t="s">
        <v>4</v>
      </c>
      <c r="E6" s="9" t="s">
        <v>5</v>
      </c>
    </row>
    <row r="7" spans="1:9" ht="29" x14ac:dyDescent="0.35">
      <c r="A7" s="7" t="s">
        <v>6</v>
      </c>
      <c r="B7" s="59" t="s">
        <v>7</v>
      </c>
      <c r="C7" s="8" t="s">
        <v>8</v>
      </c>
      <c r="E7" s="10" t="s">
        <v>9</v>
      </c>
      <c r="F7" s="11">
        <f>COUNTIF('Programas Vigentes'!$J$2:$J$1000,"Vigente")</f>
        <v>14</v>
      </c>
    </row>
    <row r="8" spans="1:9" x14ac:dyDescent="0.35">
      <c r="A8" s="7" t="s">
        <v>10</v>
      </c>
      <c r="B8" s="59" t="s">
        <v>11</v>
      </c>
      <c r="C8" s="8" t="s">
        <v>12</v>
      </c>
      <c r="E8" s="10" t="s">
        <v>13</v>
      </c>
      <c r="F8" s="11">
        <f>COUNTIF('Programas Vigentes'!$I$2:$I$1000,"Sí")</f>
        <v>12</v>
      </c>
    </row>
    <row r="9" spans="1:9" x14ac:dyDescent="0.35">
      <c r="A9" s="7" t="s">
        <v>14</v>
      </c>
      <c r="B9" s="59" t="s">
        <v>15</v>
      </c>
      <c r="C9" s="8" t="s">
        <v>16</v>
      </c>
      <c r="E9" s="10" t="s">
        <v>17</v>
      </c>
      <c r="F9" s="11">
        <f>COUNTIF('Programas Vigentes'!$I$2:$I$1000,"No")</f>
        <v>2</v>
      </c>
    </row>
    <row r="10" spans="1:9" x14ac:dyDescent="0.35">
      <c r="A10" s="7" t="s">
        <v>19</v>
      </c>
      <c r="B10" s="59" t="s">
        <v>20</v>
      </c>
      <c r="C10" s="8" t="s">
        <v>21</v>
      </c>
      <c r="E10" s="10" t="s">
        <v>22</v>
      </c>
      <c r="F10" s="11">
        <f>COUNTA('03_INDICADORES_NORMALIZADOS'!$A$2:$A$5000)</f>
        <v>228</v>
      </c>
    </row>
    <row r="11" spans="1:9" x14ac:dyDescent="0.35">
      <c r="A11" s="12" t="s">
        <v>23</v>
      </c>
      <c r="B11" s="59" t="s">
        <v>24</v>
      </c>
      <c r="C11" s="8" t="s">
        <v>25</v>
      </c>
      <c r="E11" s="10" t="s">
        <v>26</v>
      </c>
      <c r="F11" s="11">
        <f>COUNTIF('02_MATRIZ_EJECUTIVA'!$AG$2:$AG$1000,"Crítico")</f>
        <v>31</v>
      </c>
    </row>
    <row r="12" spans="1:9" x14ac:dyDescent="0.35">
      <c r="A12" s="12" t="s">
        <v>23</v>
      </c>
      <c r="B12" s="59" t="s">
        <v>27</v>
      </c>
      <c r="C12" s="8" t="s">
        <v>28</v>
      </c>
    </row>
    <row r="13" spans="1:9" x14ac:dyDescent="0.35">
      <c r="A13" s="12" t="s">
        <v>23</v>
      </c>
      <c r="B13" s="59" t="s">
        <v>29</v>
      </c>
      <c r="C13" s="8" t="s">
        <v>30</v>
      </c>
    </row>
    <row r="14" spans="1:9" x14ac:dyDescent="0.35">
      <c r="A14" s="12" t="s">
        <v>23</v>
      </c>
      <c r="B14" s="59" t="s">
        <v>31</v>
      </c>
      <c r="C14" s="8" t="s">
        <v>32</v>
      </c>
    </row>
    <row r="15" spans="1:9" x14ac:dyDescent="0.35">
      <c r="A15" s="12" t="s">
        <v>23</v>
      </c>
      <c r="B15" s="59" t="s">
        <v>33</v>
      </c>
      <c r="C15" s="8" t="s">
        <v>34</v>
      </c>
    </row>
    <row r="16" spans="1:9" x14ac:dyDescent="0.35">
      <c r="A16" s="12" t="s">
        <v>23</v>
      </c>
      <c r="B16" s="59" t="s">
        <v>35</v>
      </c>
      <c r="C16" s="8" t="s">
        <v>36</v>
      </c>
    </row>
  </sheetData>
  <mergeCells count="3">
    <mergeCell ref="A1:I1"/>
    <mergeCell ref="B4:I4"/>
    <mergeCell ref="A2:I2"/>
  </mergeCells>
  <hyperlinks>
    <hyperlink ref="B6" location="'01_RESUMEN'!A1" display="01_RESUMEN" xr:uid="{55D9395B-D000-4469-BF4E-38111BC44041}"/>
    <hyperlink ref="B7" location="'02_MATRIZ_EJECUTIVA'!A1" display="02_MATRIZ_EJECUTIVA" xr:uid="{ED995F96-4061-435D-AD5E-5F76BB2C4878}"/>
    <hyperlink ref="B8" location="'00_PORTADA'!A1" display="03_INDICADORES_NORMALIZADOS" xr:uid="{A232357F-E7FA-430D-9ECA-24DA3AB109F4}"/>
    <hyperlink ref="B9" location="'04_CRONOGRAMA_TARGETS'!A1" display="04_CRONOGRAMA_TARGETS" xr:uid="{B4C1CD4A-C30C-44FC-8FCF-733F9C1BC56C}"/>
    <hyperlink ref="B10" location="'00_PORTADA'!A1" display="06_DICCIONARIO" xr:uid="{932C1A4F-AC50-426A-998C-27F27D7885CD}"/>
    <hyperlink ref="B11" location="'Programas Vigentes'!A1" display="Programas Vigentes" xr:uid="{4D37B137-57D6-436E-8E44-3D9CCAA95F07}"/>
    <hyperlink ref="B12" location="'Historial Versiones'!A1" display="Historial Versiones" xr:uid="{6B4ED60E-9277-4632-9B3B-A0CC2BFA1B01}"/>
    <hyperlink ref="B13" location="'Fichas Técnicas'!A1" display="Fichas Técnicas" xr:uid="{33E33800-E5E8-41BB-939B-DE460A70E23F}"/>
    <hyperlink ref="B14" location="'Targets por Ficha'!A1" display="Targets por Ficha" xr:uid="{6E395C99-7BF2-4A52-86A2-CCD22083D5E3}"/>
    <hyperlink ref="B15" location="Indicadores!A1" display="Indicadores" xr:uid="{498CCF9D-AC46-4E76-91BE-76C9E9E8800D}"/>
    <hyperlink ref="B16" location="'MATRIZ CONSOLIDADA'!A1" display="MATRIZ CONSOLIDADA" xr:uid="{9C5D5E7E-C0E8-44FB-87EF-2D0BD7A6E28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6"/>
  <sheetViews>
    <sheetView showGridLines="0" workbookViewId="0">
      <selection activeCell="B13" sqref="B13"/>
    </sheetView>
  </sheetViews>
  <sheetFormatPr baseColWidth="10" defaultColWidth="8.7265625" defaultRowHeight="14.5" x14ac:dyDescent="0.35"/>
  <cols>
    <col min="1" max="1" width="14" customWidth="1"/>
    <col min="2" max="2" width="34" customWidth="1"/>
    <col min="3" max="4" width="12" customWidth="1"/>
    <col min="5" max="6" width="10" customWidth="1"/>
    <col min="7" max="7" width="18" customWidth="1"/>
    <col min="8" max="8" width="16" customWidth="1"/>
    <col min="9" max="9" width="10" customWidth="1"/>
    <col min="11" max="12" width="28" customWidth="1"/>
  </cols>
  <sheetData>
    <row r="1" spans="1:12" ht="24" customHeight="1" x14ac:dyDescent="0.35">
      <c r="A1" s="40" t="s">
        <v>1260</v>
      </c>
      <c r="B1" s="41"/>
      <c r="C1" s="41"/>
      <c r="D1" s="41"/>
      <c r="E1" s="41"/>
      <c r="F1" s="41"/>
      <c r="G1" s="41"/>
      <c r="H1" s="41"/>
      <c r="I1" s="41"/>
      <c r="J1" s="41"/>
      <c r="K1" s="41"/>
      <c r="L1" s="41"/>
    </row>
    <row r="2" spans="1:12" ht="28" customHeight="1" x14ac:dyDescent="0.35">
      <c r="A2" s="45" t="s">
        <v>37</v>
      </c>
      <c r="B2" s="41"/>
      <c r="C2" s="41"/>
      <c r="D2" s="41"/>
      <c r="E2" s="41"/>
      <c r="F2" s="41"/>
      <c r="G2" s="41"/>
      <c r="H2" s="41"/>
      <c r="I2" s="41"/>
      <c r="J2" s="41"/>
      <c r="K2" s="41"/>
      <c r="L2" s="41"/>
    </row>
    <row r="4" spans="1:12" x14ac:dyDescent="0.35">
      <c r="A4" s="54" t="s">
        <v>38</v>
      </c>
      <c r="B4" s="43"/>
      <c r="C4" s="44"/>
      <c r="D4" s="54" t="s">
        <v>9</v>
      </c>
      <c r="E4" s="43"/>
      <c r="F4" s="44"/>
      <c r="G4" s="54" t="s">
        <v>13</v>
      </c>
      <c r="H4" s="43"/>
      <c r="I4" s="44"/>
      <c r="J4" s="54" t="s">
        <v>39</v>
      </c>
      <c r="K4" s="43"/>
      <c r="L4" s="44"/>
    </row>
    <row r="5" spans="1:12" x14ac:dyDescent="0.35">
      <c r="A5" s="46">
        <f>COUNTA('Programas Vigentes'!$A$2:$A$1000)</f>
        <v>14</v>
      </c>
      <c r="B5" s="47"/>
      <c r="C5" s="48"/>
      <c r="D5" s="46">
        <f>COUNTIF('Programas Vigentes'!$J$2:$J$1000,"Vigente")</f>
        <v>14</v>
      </c>
      <c r="E5" s="47"/>
      <c r="F5" s="48"/>
      <c r="G5" s="57">
        <f>COUNTIF('Programas Vigentes'!$I$2:$I$1000,"Sí")</f>
        <v>12</v>
      </c>
      <c r="H5" s="47"/>
      <c r="I5" s="48"/>
      <c r="J5" s="53">
        <f>COUNTIF('Programas Vigentes'!$I$2:$I$1000,"No")</f>
        <v>2</v>
      </c>
      <c r="K5" s="47"/>
      <c r="L5" s="48"/>
    </row>
    <row r="6" spans="1:12" x14ac:dyDescent="0.35">
      <c r="A6" s="49"/>
      <c r="B6" s="50"/>
      <c r="C6" s="51"/>
      <c r="D6" s="49"/>
      <c r="E6" s="50"/>
      <c r="F6" s="51"/>
      <c r="G6" s="49"/>
      <c r="H6" s="50"/>
      <c r="I6" s="51"/>
      <c r="J6" s="49"/>
      <c r="K6" s="50"/>
      <c r="L6" s="51"/>
    </row>
    <row r="7" spans="1:12" x14ac:dyDescent="0.35">
      <c r="A7" s="54" t="s">
        <v>40</v>
      </c>
      <c r="B7" s="43"/>
      <c r="C7" s="44"/>
      <c r="D7" s="54" t="s">
        <v>41</v>
      </c>
      <c r="E7" s="43"/>
      <c r="F7" s="44"/>
      <c r="G7" s="54" t="s">
        <v>42</v>
      </c>
      <c r="H7" s="43"/>
      <c r="I7" s="44"/>
      <c r="J7" s="54" t="s">
        <v>43</v>
      </c>
      <c r="K7" s="43"/>
      <c r="L7" s="44"/>
    </row>
    <row r="8" spans="1:12" x14ac:dyDescent="0.35">
      <c r="A8" s="58">
        <f>COUNTA('Targets por Ficha'!$A$2:$A$1000)</f>
        <v>31</v>
      </c>
      <c r="B8" s="47"/>
      <c r="C8" s="48"/>
      <c r="D8" s="58">
        <f>COUNTA('03_INDICADORES_NORMALIZADOS'!$A$2:$A$5000)</f>
        <v>228</v>
      </c>
      <c r="E8" s="47"/>
      <c r="F8" s="48"/>
      <c r="G8" s="56">
        <f>COUNTA('Historial Versiones'!$A$2:$A$2000)</f>
        <v>100</v>
      </c>
      <c r="H8" s="47"/>
      <c r="I8" s="48"/>
      <c r="J8" s="55">
        <f>SUM('02_MATRIZ_EJECUTIVA'!$AC$5:$AC$1000)</f>
        <v>414615</v>
      </c>
      <c r="K8" s="47"/>
      <c r="L8" s="48"/>
    </row>
    <row r="9" spans="1:12" x14ac:dyDescent="0.35">
      <c r="A9" s="49"/>
      <c r="B9" s="50"/>
      <c r="C9" s="51"/>
      <c r="D9" s="49"/>
      <c r="E9" s="50"/>
      <c r="F9" s="51"/>
      <c r="G9" s="49"/>
      <c r="H9" s="50"/>
      <c r="I9" s="51"/>
      <c r="J9" s="49"/>
      <c r="K9" s="50"/>
      <c r="L9" s="51"/>
    </row>
    <row r="11" spans="1:12" x14ac:dyDescent="0.35">
      <c r="A11" s="13" t="s">
        <v>44</v>
      </c>
      <c r="K11" s="13" t="s">
        <v>45</v>
      </c>
    </row>
    <row r="12" spans="1:12" ht="32" customHeight="1" x14ac:dyDescent="0.35">
      <c r="A12" s="14" t="s">
        <v>46</v>
      </c>
      <c r="B12" s="14" t="s">
        <v>47</v>
      </c>
      <c r="C12" s="14" t="s">
        <v>48</v>
      </c>
      <c r="D12" s="14" t="s">
        <v>49</v>
      </c>
      <c r="E12" s="14" t="s">
        <v>40</v>
      </c>
      <c r="F12" s="14" t="s">
        <v>50</v>
      </c>
      <c r="G12" s="14" t="s">
        <v>51</v>
      </c>
      <c r="H12" s="14" t="s">
        <v>52</v>
      </c>
      <c r="I12" s="14" t="s">
        <v>53</v>
      </c>
      <c r="K12" s="52" t="s">
        <v>54</v>
      </c>
      <c r="L12" s="44"/>
    </row>
    <row r="13" spans="1:12" ht="28" customHeight="1" x14ac:dyDescent="0.35">
      <c r="A13" s="16" t="s">
        <v>55</v>
      </c>
      <c r="B13" s="15" t="s">
        <v>56</v>
      </c>
      <c r="C13" s="16" t="s">
        <v>57</v>
      </c>
      <c r="D13" s="16" t="s">
        <v>58</v>
      </c>
      <c r="E13" s="16">
        <f>COUNTIF('02_MATRIZ_EJECUTIVA'!$B$5:$B$1000,A13)</f>
        <v>2</v>
      </c>
      <c r="F13" s="16">
        <v>4</v>
      </c>
      <c r="G13" s="17">
        <f>SUMIF('02_MATRIZ_EJECUTIVA'!$B$5:$B$1000,A13,'02_MATRIZ_EJECUTIVA'!$AC$5:$AC$1000)</f>
        <v>0</v>
      </c>
      <c r="H13" s="18">
        <f>IFERROR(AVERAGEIF('02_MATRIZ_EJECUTIVA'!$B$5:$B$1000,A13,'02_MATRIZ_EJECUTIVA'!$AE$5:$AE$1000),"")</f>
        <v>0.58799999999999997</v>
      </c>
      <c r="I13" s="16">
        <f>COUNTIFS('02_MATRIZ_EJECUTIVA'!$B$5:$B$1000,A13,'02_MATRIZ_EJECUTIVA'!$AG$5:$AG$1000,"Crítico")</f>
        <v>2</v>
      </c>
      <c r="K13" s="52" t="s">
        <v>59</v>
      </c>
      <c r="L13" s="44"/>
    </row>
    <row r="14" spans="1:12" ht="28" customHeight="1" x14ac:dyDescent="0.35">
      <c r="A14" s="19" t="s">
        <v>60</v>
      </c>
      <c r="B14" s="20" t="s">
        <v>61</v>
      </c>
      <c r="C14" s="19" t="s">
        <v>57</v>
      </c>
      <c r="D14" s="19" t="s">
        <v>58</v>
      </c>
      <c r="E14" s="19">
        <f>COUNTIF('02_MATRIZ_EJECUTIVA'!$B$5:$B$1000,A14)</f>
        <v>2</v>
      </c>
      <c r="F14" s="19">
        <v>4</v>
      </c>
      <c r="G14" s="21">
        <f>SUMIF('02_MATRIZ_EJECUTIVA'!$B$5:$B$1000,A14,'02_MATRIZ_EJECUTIVA'!$AC$5:$AC$1000)</f>
        <v>0</v>
      </c>
      <c r="H14" s="22">
        <f>IFERROR(AVERAGEIF('02_MATRIZ_EJECUTIVA'!$B$5:$B$1000,A14,'02_MATRIZ_EJECUTIVA'!$AE$5:$AE$1000),"")</f>
        <v>0.61749999999999994</v>
      </c>
      <c r="I14" s="19">
        <f>COUNTIFS('02_MATRIZ_EJECUTIVA'!$B$5:$B$1000,A14,'02_MATRIZ_EJECUTIVA'!$AG$5:$AG$1000,"Crítico")</f>
        <v>2</v>
      </c>
      <c r="K14" s="52" t="s">
        <v>62</v>
      </c>
      <c r="L14" s="44"/>
    </row>
    <row r="15" spans="1:12" ht="28" customHeight="1" x14ac:dyDescent="0.35">
      <c r="A15" s="16" t="s">
        <v>63</v>
      </c>
      <c r="B15" s="15" t="s">
        <v>64</v>
      </c>
      <c r="C15" s="16" t="s">
        <v>57</v>
      </c>
      <c r="D15" s="16" t="s">
        <v>58</v>
      </c>
      <c r="E15" s="16">
        <f>COUNTIF('02_MATRIZ_EJECUTIVA'!$B$5:$B$1000,A15)</f>
        <v>2</v>
      </c>
      <c r="F15" s="16">
        <v>4</v>
      </c>
      <c r="G15" s="17">
        <f>SUMIF('02_MATRIZ_EJECUTIVA'!$B$5:$B$1000,A15,'02_MATRIZ_EJECUTIVA'!$AC$5:$AC$1000)</f>
        <v>0</v>
      </c>
      <c r="H15" s="18">
        <f>IFERROR(AVERAGEIF('02_MATRIZ_EJECUTIVA'!$B$5:$B$1000,A15,'02_MATRIZ_EJECUTIVA'!$AE$5:$AE$1000),"")</f>
        <v>0.64700000000000002</v>
      </c>
      <c r="I15" s="16">
        <f>COUNTIFS('02_MATRIZ_EJECUTIVA'!$B$5:$B$1000,A15,'02_MATRIZ_EJECUTIVA'!$AG$5:$AG$1000,"Crítico")</f>
        <v>2</v>
      </c>
      <c r="K15" s="52" t="s">
        <v>65</v>
      </c>
      <c r="L15" s="44"/>
    </row>
    <row r="16" spans="1:12" ht="28" customHeight="1" x14ac:dyDescent="0.35">
      <c r="A16" s="19" t="s">
        <v>66</v>
      </c>
      <c r="B16" s="20" t="s">
        <v>67</v>
      </c>
      <c r="C16" s="19" t="s">
        <v>57</v>
      </c>
      <c r="D16" s="19" t="s">
        <v>58</v>
      </c>
      <c r="E16" s="19">
        <f>COUNTIF('02_MATRIZ_EJECUTIVA'!$B$5:$B$1000,A16)</f>
        <v>2</v>
      </c>
      <c r="F16" s="19">
        <v>4</v>
      </c>
      <c r="G16" s="21">
        <f>SUMIF('02_MATRIZ_EJECUTIVA'!$B$5:$B$1000,A16,'02_MATRIZ_EJECUTIVA'!$AC$5:$AC$1000)</f>
        <v>14851</v>
      </c>
      <c r="H16" s="22">
        <f>IFERROR(AVERAGEIF('02_MATRIZ_EJECUTIVA'!$B$5:$B$1000,A16,'02_MATRIZ_EJECUTIVA'!$AE$5:$AE$1000),"")</f>
        <v>0.61749999999999994</v>
      </c>
      <c r="I16" s="19">
        <f>COUNTIFS('02_MATRIZ_EJECUTIVA'!$B$5:$B$1000,A16,'02_MATRIZ_EJECUTIVA'!$AG$5:$AG$1000,"Crítico")</f>
        <v>2</v>
      </c>
    </row>
    <row r="17" spans="1:9" ht="28" customHeight="1" x14ac:dyDescent="0.35">
      <c r="A17" s="16" t="s">
        <v>68</v>
      </c>
      <c r="B17" s="15" t="s">
        <v>69</v>
      </c>
      <c r="C17" s="16" t="s">
        <v>57</v>
      </c>
      <c r="D17" s="16" t="s">
        <v>58</v>
      </c>
      <c r="E17" s="16">
        <f>COUNTIF('02_MATRIZ_EJECUTIVA'!$B$5:$B$1000,A17)</f>
        <v>2</v>
      </c>
      <c r="F17" s="16">
        <v>4</v>
      </c>
      <c r="G17" s="17">
        <f>SUMIF('02_MATRIZ_EJECUTIVA'!$B$5:$B$1000,A17,'02_MATRIZ_EJECUTIVA'!$AC$5:$AC$1000)</f>
        <v>14486</v>
      </c>
      <c r="H17" s="18">
        <f>IFERROR(AVERAGEIF('02_MATRIZ_EJECUTIVA'!$B$5:$B$1000,A17,'02_MATRIZ_EJECUTIVA'!$AE$5:$AE$1000),"")</f>
        <v>0.64700000000000002</v>
      </c>
      <c r="I17" s="16">
        <f>COUNTIFS('02_MATRIZ_EJECUTIVA'!$B$5:$B$1000,A17,'02_MATRIZ_EJECUTIVA'!$AG$5:$AG$1000,"Crítico")</f>
        <v>2</v>
      </c>
    </row>
    <row r="18" spans="1:9" ht="28" customHeight="1" x14ac:dyDescent="0.35">
      <c r="A18" s="19" t="s">
        <v>70</v>
      </c>
      <c r="B18" s="20" t="s">
        <v>71</v>
      </c>
      <c r="C18" s="19" t="s">
        <v>57</v>
      </c>
      <c r="D18" s="19" t="s">
        <v>72</v>
      </c>
      <c r="E18" s="19">
        <f>COUNTIF('02_MATRIZ_EJECUTIVA'!$B$5:$B$1000,A18)</f>
        <v>0</v>
      </c>
      <c r="F18" s="19">
        <v>4</v>
      </c>
      <c r="G18" s="21">
        <f>SUMIF('02_MATRIZ_EJECUTIVA'!$B$5:$B$1000,A18,'02_MATRIZ_EJECUTIVA'!$AC$5:$AC$1000)</f>
        <v>0</v>
      </c>
      <c r="H18" s="22" t="str">
        <f>IFERROR(AVERAGEIF('02_MATRIZ_EJECUTIVA'!$B$5:$B$1000,A18,'02_MATRIZ_EJECUTIVA'!$AE$5:$AE$1000),"")</f>
        <v/>
      </c>
      <c r="I18" s="19">
        <f>COUNTIFS('02_MATRIZ_EJECUTIVA'!$B$5:$B$1000,A18,'02_MATRIZ_EJECUTIVA'!$AG$5:$AG$1000,"Crítico")</f>
        <v>0</v>
      </c>
    </row>
    <row r="19" spans="1:9" ht="28" customHeight="1" x14ac:dyDescent="0.35">
      <c r="A19" s="16" t="s">
        <v>73</v>
      </c>
      <c r="B19" s="15" t="s">
        <v>74</v>
      </c>
      <c r="C19" s="16" t="s">
        <v>57</v>
      </c>
      <c r="D19" s="16" t="s">
        <v>58</v>
      </c>
      <c r="E19" s="16">
        <f>COUNTIF('02_MATRIZ_EJECUTIVA'!$B$5:$B$1000,A19)</f>
        <v>2</v>
      </c>
      <c r="F19" s="16">
        <v>4</v>
      </c>
      <c r="G19" s="17">
        <f>SUMIF('02_MATRIZ_EJECUTIVA'!$B$5:$B$1000,A19,'02_MATRIZ_EJECUTIVA'!$AC$5:$AC$1000)</f>
        <v>6708</v>
      </c>
      <c r="H19" s="18">
        <f>IFERROR(AVERAGEIF('02_MATRIZ_EJECUTIVA'!$B$5:$B$1000,A19,'02_MATRIZ_EJECUTIVA'!$AE$5:$AE$1000),"")</f>
        <v>0.64700000000000002</v>
      </c>
      <c r="I19" s="16">
        <f>COUNTIFS('02_MATRIZ_EJECUTIVA'!$B$5:$B$1000,A19,'02_MATRIZ_EJECUTIVA'!$AG$5:$AG$1000,"Crítico")</f>
        <v>2</v>
      </c>
    </row>
    <row r="20" spans="1:9" ht="28" customHeight="1" x14ac:dyDescent="0.35">
      <c r="A20" s="19" t="s">
        <v>75</v>
      </c>
      <c r="B20" s="20" t="s">
        <v>76</v>
      </c>
      <c r="C20" s="19" t="s">
        <v>57</v>
      </c>
      <c r="D20" s="19" t="s">
        <v>58</v>
      </c>
      <c r="E20" s="19">
        <f>COUNTIF('02_MATRIZ_EJECUTIVA'!$B$5:$B$1000,A20)</f>
        <v>2</v>
      </c>
      <c r="F20" s="19">
        <v>4</v>
      </c>
      <c r="G20" s="21">
        <f>SUMIF('02_MATRIZ_EJECUTIVA'!$B$5:$B$1000,A20,'02_MATRIZ_EJECUTIVA'!$AC$5:$AC$1000)</f>
        <v>0</v>
      </c>
      <c r="H20" s="22">
        <f>IFERROR(AVERAGEIF('02_MATRIZ_EJECUTIVA'!$B$5:$B$1000,A20,'02_MATRIZ_EJECUTIVA'!$AE$5:$AE$1000),"")</f>
        <v>0.64700000000000002</v>
      </c>
      <c r="I20" s="19">
        <f>COUNTIFS('02_MATRIZ_EJECUTIVA'!$B$5:$B$1000,A20,'02_MATRIZ_EJECUTIVA'!$AG$5:$AG$1000,"Crítico")</f>
        <v>2</v>
      </c>
    </row>
    <row r="21" spans="1:9" ht="28" customHeight="1" x14ac:dyDescent="0.35">
      <c r="A21" s="16" t="s">
        <v>77</v>
      </c>
      <c r="B21" s="15" t="s">
        <v>78</v>
      </c>
      <c r="C21" s="16" t="s">
        <v>57</v>
      </c>
      <c r="D21" s="16" t="s">
        <v>58</v>
      </c>
      <c r="E21" s="16">
        <f>COUNTIF('02_MATRIZ_EJECUTIVA'!$B$5:$B$1000,A21)</f>
        <v>3</v>
      </c>
      <c r="F21" s="16">
        <v>4</v>
      </c>
      <c r="G21" s="17">
        <f>SUMIF('02_MATRIZ_EJECUTIVA'!$B$5:$B$1000,A21,'02_MATRIZ_EJECUTIVA'!$AC$5:$AC$1000)</f>
        <v>0</v>
      </c>
      <c r="H21" s="18">
        <f>IFERROR(AVERAGEIF('02_MATRIZ_EJECUTIVA'!$B$5:$B$1000,A21,'02_MATRIZ_EJECUTIVA'!$AE$5:$AE$1000),"")</f>
        <v>0.58799999999999997</v>
      </c>
      <c r="I21" s="16">
        <f>COUNTIFS('02_MATRIZ_EJECUTIVA'!$B$5:$B$1000,A21,'02_MATRIZ_EJECUTIVA'!$AG$5:$AG$1000,"Crítico")</f>
        <v>3</v>
      </c>
    </row>
    <row r="22" spans="1:9" ht="28" customHeight="1" x14ac:dyDescent="0.35">
      <c r="A22" s="19" t="s">
        <v>79</v>
      </c>
      <c r="B22" s="20" t="s">
        <v>80</v>
      </c>
      <c r="C22" s="19" t="s">
        <v>57</v>
      </c>
      <c r="D22" s="19" t="s">
        <v>58</v>
      </c>
      <c r="E22" s="19">
        <f>COUNTIF('02_MATRIZ_EJECUTIVA'!$B$5:$B$1000,A22)</f>
        <v>2</v>
      </c>
      <c r="F22" s="19">
        <v>4</v>
      </c>
      <c r="G22" s="21">
        <f>SUMIF('02_MATRIZ_EJECUTIVA'!$B$5:$B$1000,A22,'02_MATRIZ_EJECUTIVA'!$AC$5:$AC$1000)</f>
        <v>0</v>
      </c>
      <c r="H22" s="22">
        <f>IFERROR(AVERAGEIF('02_MATRIZ_EJECUTIVA'!$B$5:$B$1000,A22,'02_MATRIZ_EJECUTIVA'!$AE$5:$AE$1000),"")</f>
        <v>0.58799999999999997</v>
      </c>
      <c r="I22" s="19">
        <f>COUNTIFS('02_MATRIZ_EJECUTIVA'!$B$5:$B$1000,A22,'02_MATRIZ_EJECUTIVA'!$AG$5:$AG$1000,"Crítico")</f>
        <v>2</v>
      </c>
    </row>
    <row r="23" spans="1:9" ht="28" customHeight="1" x14ac:dyDescent="0.35">
      <c r="A23" s="16" t="s">
        <v>81</v>
      </c>
      <c r="B23" s="15" t="s">
        <v>82</v>
      </c>
      <c r="C23" s="16" t="s">
        <v>57</v>
      </c>
      <c r="D23" s="16" t="s">
        <v>58</v>
      </c>
      <c r="E23" s="16">
        <f>COUNTIF('02_MATRIZ_EJECUTIVA'!$B$5:$B$1000,A23)</f>
        <v>2</v>
      </c>
      <c r="F23" s="16">
        <v>4</v>
      </c>
      <c r="G23" s="17">
        <f>SUMIF('02_MATRIZ_EJECUTIVA'!$B$5:$B$1000,A23,'02_MATRIZ_EJECUTIVA'!$AC$5:$AC$1000)</f>
        <v>275831</v>
      </c>
      <c r="H23" s="18">
        <f>IFERROR(AVERAGEIF('02_MATRIZ_EJECUTIVA'!$B$5:$B$1000,A23,'02_MATRIZ_EJECUTIVA'!$AE$5:$AE$1000),"")</f>
        <v>0.58799999999999997</v>
      </c>
      <c r="I23" s="16">
        <f>COUNTIFS('02_MATRIZ_EJECUTIVA'!$B$5:$B$1000,A23,'02_MATRIZ_EJECUTIVA'!$AG$5:$AG$1000,"Crítico")</f>
        <v>2</v>
      </c>
    </row>
    <row r="24" spans="1:9" ht="28" customHeight="1" x14ac:dyDescent="0.35">
      <c r="A24" s="19" t="s">
        <v>83</v>
      </c>
      <c r="B24" s="20" t="s">
        <v>84</v>
      </c>
      <c r="C24" s="19" t="s">
        <v>57</v>
      </c>
      <c r="D24" s="19" t="s">
        <v>58</v>
      </c>
      <c r="E24" s="19">
        <f>COUNTIF('02_MATRIZ_EJECUTIVA'!$B$5:$B$1000,A24)</f>
        <v>6</v>
      </c>
      <c r="F24" s="19">
        <v>4</v>
      </c>
      <c r="G24" s="21">
        <f>SUMIF('02_MATRIZ_EJECUTIVA'!$B$5:$B$1000,A24,'02_MATRIZ_EJECUTIVA'!$AC$5:$AC$1000)</f>
        <v>34350</v>
      </c>
      <c r="H24" s="22">
        <f>IFERROR(AVERAGEIF('02_MATRIZ_EJECUTIVA'!$B$5:$B$1000,A24,'02_MATRIZ_EJECUTIVA'!$AE$5:$AE$1000),"")</f>
        <v>0.52900000000000003</v>
      </c>
      <c r="I24" s="19">
        <f>COUNTIFS('02_MATRIZ_EJECUTIVA'!$B$5:$B$1000,A24,'02_MATRIZ_EJECUTIVA'!$AG$5:$AG$1000,"Crítico")</f>
        <v>6</v>
      </c>
    </row>
    <row r="25" spans="1:9" ht="28" customHeight="1" x14ac:dyDescent="0.35">
      <c r="A25" s="16" t="s">
        <v>85</v>
      </c>
      <c r="B25" s="15" t="s">
        <v>86</v>
      </c>
      <c r="C25" s="16" t="s">
        <v>57</v>
      </c>
      <c r="D25" s="16" t="s">
        <v>72</v>
      </c>
      <c r="E25" s="16">
        <f>COUNTIF('02_MATRIZ_EJECUTIVA'!$B$5:$B$1000,A25)</f>
        <v>0</v>
      </c>
      <c r="F25" s="16">
        <v>5</v>
      </c>
      <c r="G25" s="17">
        <f>SUMIF('02_MATRIZ_EJECUTIVA'!$B$5:$B$1000,A25,'02_MATRIZ_EJECUTIVA'!$AC$5:$AC$1000)</f>
        <v>0</v>
      </c>
      <c r="H25" s="18" t="str">
        <f>IFERROR(AVERAGEIF('02_MATRIZ_EJECUTIVA'!$B$5:$B$1000,A25,'02_MATRIZ_EJECUTIVA'!$AE$5:$AE$1000),"")</f>
        <v/>
      </c>
      <c r="I25" s="16">
        <f>COUNTIFS('02_MATRIZ_EJECUTIVA'!$B$5:$B$1000,A25,'02_MATRIZ_EJECUTIVA'!$AG$5:$AG$1000,"Crítico")</f>
        <v>0</v>
      </c>
    </row>
    <row r="26" spans="1:9" ht="28" customHeight="1" x14ac:dyDescent="0.35">
      <c r="A26" s="19" t="s">
        <v>87</v>
      </c>
      <c r="B26" s="20" t="s">
        <v>88</v>
      </c>
      <c r="C26" s="19" t="s">
        <v>57</v>
      </c>
      <c r="D26" s="19" t="s">
        <v>58</v>
      </c>
      <c r="E26" s="19">
        <f>COUNTIF('02_MATRIZ_EJECUTIVA'!$B$5:$B$1000,A26)</f>
        <v>4</v>
      </c>
      <c r="F26" s="19">
        <v>5</v>
      </c>
      <c r="G26" s="21">
        <f>SUMIF('02_MATRIZ_EJECUTIVA'!$B$5:$B$1000,A26,'02_MATRIZ_EJECUTIVA'!$AC$5:$AC$1000)</f>
        <v>68389</v>
      </c>
      <c r="H26" s="22">
        <f>IFERROR(AVERAGEIF('02_MATRIZ_EJECUTIVA'!$B$5:$B$1000,A26,'02_MATRIZ_EJECUTIVA'!$AE$5:$AE$1000),"")</f>
        <v>0.64700000000000002</v>
      </c>
      <c r="I26" s="19">
        <f>COUNTIFS('02_MATRIZ_EJECUTIVA'!$B$5:$B$1000,A26,'02_MATRIZ_EJECUTIVA'!$AG$5:$AG$1000,"Crítico")</f>
        <v>4</v>
      </c>
    </row>
  </sheetData>
  <mergeCells count="22">
    <mergeCell ref="A1:L1"/>
    <mergeCell ref="A8:C9"/>
    <mergeCell ref="A7:C7"/>
    <mergeCell ref="G7:I7"/>
    <mergeCell ref="D8:F9"/>
    <mergeCell ref="A2:L2"/>
    <mergeCell ref="D4:F4"/>
    <mergeCell ref="K13:L13"/>
    <mergeCell ref="G4:I4"/>
    <mergeCell ref="G8:I9"/>
    <mergeCell ref="A4:C4"/>
    <mergeCell ref="K12:L12"/>
    <mergeCell ref="A5:C6"/>
    <mergeCell ref="G5:I6"/>
    <mergeCell ref="D5:F6"/>
    <mergeCell ref="K15:L15"/>
    <mergeCell ref="J5:L6"/>
    <mergeCell ref="J4:L4"/>
    <mergeCell ref="J8:L9"/>
    <mergeCell ref="D7:F7"/>
    <mergeCell ref="J7:L7"/>
    <mergeCell ref="K14:L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35"/>
  <sheetViews>
    <sheetView workbookViewId="0">
      <selection sqref="A1:L1"/>
    </sheetView>
  </sheetViews>
  <sheetFormatPr baseColWidth="10" defaultColWidth="8.7265625" defaultRowHeight="14.5" x14ac:dyDescent="0.35"/>
  <cols>
    <col min="1" max="1" width="6" customWidth="1"/>
    <col min="2" max="2" width="14" customWidth="1"/>
    <col min="3" max="3" width="26" customWidth="1"/>
    <col min="4" max="5" width="10" customWidth="1"/>
    <col min="6" max="6" width="34" customWidth="1"/>
    <col min="7" max="7" width="10" customWidth="1"/>
    <col min="8" max="8" width="12" customWidth="1"/>
    <col min="9" max="9" width="10" customWidth="1"/>
    <col min="10" max="11" width="42" customWidth="1"/>
    <col min="12" max="12" width="34" customWidth="1"/>
    <col min="13" max="14" width="20" customWidth="1"/>
    <col min="15" max="15" width="14" customWidth="1"/>
    <col min="16" max="17" width="18" customWidth="1"/>
    <col min="18" max="19" width="28" customWidth="1"/>
    <col min="20" max="20" width="16" customWidth="1"/>
    <col min="21" max="21" width="28" customWidth="1"/>
    <col min="22" max="23" width="26" customWidth="1"/>
    <col min="24" max="25" width="34" customWidth="1"/>
    <col min="26" max="26" width="18" customWidth="1"/>
    <col min="27" max="27" width="16" customWidth="1"/>
    <col min="28" max="28" width="10" customWidth="1"/>
    <col min="29" max="29" width="18" customWidth="1"/>
    <col min="30" max="30" width="14" customWidth="1"/>
    <col min="31" max="31" width="16" customWidth="1"/>
    <col min="32" max="32" width="12" customWidth="1"/>
    <col min="33" max="33" width="14" customWidth="1"/>
  </cols>
  <sheetData>
    <row r="1" spans="1:33" ht="16" customHeight="1" x14ac:dyDescent="0.35">
      <c r="A1" s="40" t="s">
        <v>89</v>
      </c>
      <c r="B1" s="41"/>
      <c r="C1" s="41"/>
      <c r="D1" s="41"/>
      <c r="E1" s="41"/>
      <c r="F1" s="41"/>
      <c r="G1" s="41"/>
      <c r="H1" s="41"/>
      <c r="I1" s="41"/>
      <c r="J1" s="41"/>
      <c r="K1" s="41"/>
      <c r="L1" s="41"/>
    </row>
    <row r="2" spans="1:33" ht="18.649999999999999" customHeight="1" x14ac:dyDescent="0.35">
      <c r="A2" s="45" t="s">
        <v>90</v>
      </c>
      <c r="B2" s="41"/>
      <c r="C2" s="41"/>
      <c r="D2" s="41"/>
      <c r="E2" s="41"/>
      <c r="F2" s="41"/>
      <c r="G2" s="41"/>
      <c r="H2" s="41"/>
      <c r="I2" s="41"/>
      <c r="J2" s="41"/>
      <c r="K2" s="41"/>
      <c r="L2" s="41"/>
    </row>
    <row r="4" spans="1:33" ht="21.4" customHeight="1" x14ac:dyDescent="0.35">
      <c r="A4" s="14" t="s">
        <v>91</v>
      </c>
      <c r="B4" s="14" t="s">
        <v>92</v>
      </c>
      <c r="C4" s="14" t="s">
        <v>93</v>
      </c>
      <c r="D4" s="14" t="s">
        <v>94</v>
      </c>
      <c r="E4" s="14" t="s">
        <v>95</v>
      </c>
      <c r="F4" s="14" t="s">
        <v>96</v>
      </c>
      <c r="G4" s="14" t="s">
        <v>97</v>
      </c>
      <c r="H4" s="14" t="s">
        <v>98</v>
      </c>
      <c r="I4" s="14" t="s">
        <v>99</v>
      </c>
      <c r="J4" s="14" t="s">
        <v>100</v>
      </c>
      <c r="K4" s="14" t="s">
        <v>101</v>
      </c>
      <c r="L4" s="14" t="s">
        <v>102</v>
      </c>
      <c r="M4" s="14" t="s">
        <v>103</v>
      </c>
      <c r="N4" s="14" t="s">
        <v>104</v>
      </c>
      <c r="O4" s="14" t="s">
        <v>105</v>
      </c>
      <c r="P4" s="14" t="s">
        <v>106</v>
      </c>
      <c r="Q4" s="14" t="s">
        <v>107</v>
      </c>
      <c r="R4" s="14" t="s">
        <v>108</v>
      </c>
      <c r="S4" s="14" t="s">
        <v>109</v>
      </c>
      <c r="T4" s="14" t="s">
        <v>110</v>
      </c>
      <c r="U4" s="14" t="s">
        <v>111</v>
      </c>
      <c r="V4" s="14" t="s">
        <v>112</v>
      </c>
      <c r="W4" s="14" t="s">
        <v>113</v>
      </c>
      <c r="X4" s="14" t="s">
        <v>114</v>
      </c>
      <c r="Y4" s="14" t="s">
        <v>115</v>
      </c>
      <c r="Z4" s="14" t="s">
        <v>116</v>
      </c>
      <c r="AA4" s="14" t="s">
        <v>117</v>
      </c>
      <c r="AB4" s="14" t="s">
        <v>118</v>
      </c>
      <c r="AC4" s="14" t="s">
        <v>119</v>
      </c>
      <c r="AD4" s="14" t="s">
        <v>120</v>
      </c>
      <c r="AE4" s="14" t="s">
        <v>121</v>
      </c>
      <c r="AF4" s="14" t="s">
        <v>122</v>
      </c>
      <c r="AG4" s="14" t="s">
        <v>123</v>
      </c>
    </row>
    <row r="5" spans="1:33" ht="18.649999999999999" customHeight="1" x14ac:dyDescent="0.35">
      <c r="A5" s="16">
        <v>1</v>
      </c>
      <c r="B5" s="16" t="s">
        <v>66</v>
      </c>
      <c r="C5" s="16" t="s">
        <v>124</v>
      </c>
      <c r="D5" s="16" t="s">
        <v>125</v>
      </c>
      <c r="E5" s="16" t="s">
        <v>57</v>
      </c>
      <c r="F5" s="15" t="s">
        <v>126</v>
      </c>
      <c r="G5" s="15" t="s">
        <v>127</v>
      </c>
      <c r="H5" s="23">
        <v>45812</v>
      </c>
      <c r="I5" s="15">
        <v>1</v>
      </c>
      <c r="J5" s="15" t="s">
        <v>128</v>
      </c>
      <c r="K5" s="15" t="s">
        <v>129</v>
      </c>
      <c r="L5" s="15" t="s">
        <v>130</v>
      </c>
      <c r="M5" s="6"/>
      <c r="N5" s="6"/>
      <c r="O5" s="6"/>
      <c r="P5" s="6"/>
      <c r="Q5" s="6"/>
      <c r="R5" s="15" t="s">
        <v>131</v>
      </c>
      <c r="S5" s="15" t="s">
        <v>132</v>
      </c>
      <c r="T5" s="6"/>
      <c r="U5" s="15" t="s">
        <v>133</v>
      </c>
      <c r="V5" s="15" t="s">
        <v>134</v>
      </c>
      <c r="W5" s="15" t="s">
        <v>135</v>
      </c>
      <c r="X5" s="15" t="s">
        <v>136</v>
      </c>
      <c r="Y5" s="15" t="s">
        <v>137</v>
      </c>
      <c r="Z5" s="6"/>
      <c r="AA5" s="24" t="str">
        <f t="shared" ref="AA5:AA35" si="0">B5&amp;"-T"&amp;TEXT(I5,"00")</f>
        <v>PR-SS-MDO-T01</v>
      </c>
      <c r="AB5" s="24">
        <f t="shared" ref="AB5:AB35" si="1">IF(H5="","",VALUE(LEFT(TEXT(H5,"yyyy-mm-dd"),4)))</f>
        <v>2025</v>
      </c>
      <c r="AC5" s="25">
        <v>0</v>
      </c>
      <c r="AD5" s="24">
        <f t="shared" ref="AD5:AD35" si="2">IF(U5="","",LEN(U5)-LEN(SUBSTITUTE(U5,",",""))+1)</f>
        <v>8</v>
      </c>
      <c r="AE5" s="26">
        <f t="shared" ref="AE5:AE35" si="3">ROUND((COUNTIF(J5,"&lt;&gt;") + COUNTIF(K5,"&lt;&gt;") + COUNTIF(L5,"&lt;&gt;") + COUNTIF(M5,"&lt;&gt;") + COUNTIF(N5,"&lt;&gt;") + COUNTIF(O5,"&lt;&gt;") + COUNTIF(P5,"&lt;&gt;") + COUNTIF(Q5,"&lt;&gt;") + COUNTIF(R5,"&lt;&gt;") + COUNTIF(S5,"&lt;&gt;") + COUNTIF(T5,"&lt;&gt;") + COUNTIF(U5,"&lt;&gt;") + COUNTIF(V5,"&lt;&gt;") + COUNTIF(W5,"&lt;&gt;") + COUNTIF(X5,"&lt;&gt;") + COUNTIF(Y5,"&lt;&gt;") + COUNTIF(Z5,"&lt;&gt;"))/17,3)</f>
        <v>0.58799999999999997</v>
      </c>
      <c r="AF5" s="27">
        <f t="shared" ref="AF5:AF35" si="4">COUNTBLANK(M5:Q5)+IF(OR(T5="",T5="----"),1,0)+IF(U5="",1,0)</f>
        <v>6</v>
      </c>
      <c r="AG5" s="28" t="str">
        <f t="shared" ref="AG5:AG35" si="5">IF(AF5=0,"Completo",IF(AF5&lt;=2,"Parcial","Crítico"))</f>
        <v>Crítico</v>
      </c>
    </row>
    <row r="6" spans="1:33" ht="18.649999999999999" customHeight="1" x14ac:dyDescent="0.35">
      <c r="A6" s="19">
        <v>2</v>
      </c>
      <c r="B6" s="19" t="s">
        <v>66</v>
      </c>
      <c r="C6" s="19" t="s">
        <v>124</v>
      </c>
      <c r="D6" s="19" t="s">
        <v>125</v>
      </c>
      <c r="E6" s="19" t="s">
        <v>57</v>
      </c>
      <c r="F6" s="20" t="s">
        <v>126</v>
      </c>
      <c r="G6" s="20" t="s">
        <v>127</v>
      </c>
      <c r="H6" s="29">
        <v>45812</v>
      </c>
      <c r="I6" s="20">
        <v>2</v>
      </c>
      <c r="J6" s="20" t="s">
        <v>138</v>
      </c>
      <c r="K6" s="20" t="s">
        <v>139</v>
      </c>
      <c r="L6" s="20" t="s">
        <v>140</v>
      </c>
      <c r="M6" s="6"/>
      <c r="N6" s="6"/>
      <c r="O6" s="6"/>
      <c r="P6" s="6"/>
      <c r="Q6" s="6"/>
      <c r="R6" s="20" t="s">
        <v>141</v>
      </c>
      <c r="S6" s="20" t="s">
        <v>141</v>
      </c>
      <c r="T6" s="20" t="s">
        <v>142</v>
      </c>
      <c r="U6" s="20" t="s">
        <v>143</v>
      </c>
      <c r="V6" s="20" t="s">
        <v>134</v>
      </c>
      <c r="W6" s="20" t="s">
        <v>135</v>
      </c>
      <c r="X6" s="20" t="s">
        <v>136</v>
      </c>
      <c r="Y6" s="20" t="s">
        <v>137</v>
      </c>
      <c r="Z6" s="6"/>
      <c r="AA6" s="30" t="str">
        <f t="shared" si="0"/>
        <v>PR-SS-MDO-T02</v>
      </c>
      <c r="AB6" s="30">
        <f t="shared" si="1"/>
        <v>2025</v>
      </c>
      <c r="AC6" s="31">
        <v>14851</v>
      </c>
      <c r="AD6" s="30">
        <f t="shared" si="2"/>
        <v>11</v>
      </c>
      <c r="AE6" s="32">
        <f t="shared" si="3"/>
        <v>0.64700000000000002</v>
      </c>
      <c r="AF6" s="33">
        <f t="shared" si="4"/>
        <v>5</v>
      </c>
      <c r="AG6" s="34" t="str">
        <f t="shared" si="5"/>
        <v>Crítico</v>
      </c>
    </row>
    <row r="7" spans="1:33" ht="18.649999999999999" customHeight="1" x14ac:dyDescent="0.35">
      <c r="A7" s="16">
        <v>3</v>
      </c>
      <c r="B7" s="16" t="s">
        <v>63</v>
      </c>
      <c r="C7" s="16" t="s">
        <v>144</v>
      </c>
      <c r="D7" s="16" t="s">
        <v>145</v>
      </c>
      <c r="E7" s="16" t="s">
        <v>57</v>
      </c>
      <c r="F7" s="15" t="s">
        <v>146</v>
      </c>
      <c r="G7" s="15" t="s">
        <v>127</v>
      </c>
      <c r="H7" s="23">
        <v>45812</v>
      </c>
      <c r="I7" s="15">
        <v>1</v>
      </c>
      <c r="J7" s="15" t="s">
        <v>147</v>
      </c>
      <c r="K7" s="15" t="s">
        <v>148</v>
      </c>
      <c r="L7" s="15" t="s">
        <v>149</v>
      </c>
      <c r="M7" s="6"/>
      <c r="N7" s="6"/>
      <c r="O7" s="6"/>
      <c r="P7" s="6"/>
      <c r="Q7" s="6"/>
      <c r="R7" s="15" t="s">
        <v>150</v>
      </c>
      <c r="S7" s="15" t="s">
        <v>151</v>
      </c>
      <c r="T7" s="15" t="s">
        <v>152</v>
      </c>
      <c r="U7" s="15" t="s">
        <v>153</v>
      </c>
      <c r="V7" s="15" t="s">
        <v>154</v>
      </c>
      <c r="W7" s="15" t="s">
        <v>155</v>
      </c>
      <c r="X7" s="15" t="s">
        <v>156</v>
      </c>
      <c r="Y7" s="15" t="s">
        <v>157</v>
      </c>
      <c r="Z7" s="6"/>
      <c r="AA7" s="24" t="str">
        <f t="shared" si="0"/>
        <v>PR-SS-EMU-T01</v>
      </c>
      <c r="AB7" s="24">
        <f t="shared" si="1"/>
        <v>2025</v>
      </c>
      <c r="AC7" s="25">
        <v>0</v>
      </c>
      <c r="AD7" s="24">
        <f t="shared" si="2"/>
        <v>5</v>
      </c>
      <c r="AE7" s="26">
        <f t="shared" si="3"/>
        <v>0.64700000000000002</v>
      </c>
      <c r="AF7" s="27">
        <f t="shared" si="4"/>
        <v>5</v>
      </c>
      <c r="AG7" s="28" t="str">
        <f t="shared" si="5"/>
        <v>Crítico</v>
      </c>
    </row>
    <row r="8" spans="1:33" ht="18.649999999999999" customHeight="1" x14ac:dyDescent="0.35">
      <c r="A8" s="19">
        <v>4</v>
      </c>
      <c r="B8" s="19" t="s">
        <v>63</v>
      </c>
      <c r="C8" s="19" t="s">
        <v>144</v>
      </c>
      <c r="D8" s="19" t="s">
        <v>145</v>
      </c>
      <c r="E8" s="19" t="s">
        <v>57</v>
      </c>
      <c r="F8" s="20" t="s">
        <v>146</v>
      </c>
      <c r="G8" s="20" t="s">
        <v>127</v>
      </c>
      <c r="H8" s="29">
        <v>45812</v>
      </c>
      <c r="I8" s="20">
        <v>2</v>
      </c>
      <c r="J8" s="20" t="s">
        <v>158</v>
      </c>
      <c r="K8" s="20" t="s">
        <v>159</v>
      </c>
      <c r="L8" s="20" t="s">
        <v>160</v>
      </c>
      <c r="M8" s="6"/>
      <c r="N8" s="6"/>
      <c r="O8" s="6"/>
      <c r="P8" s="6"/>
      <c r="Q8" s="6"/>
      <c r="R8" s="20" t="s">
        <v>161</v>
      </c>
      <c r="S8" s="20" t="s">
        <v>162</v>
      </c>
      <c r="T8" s="20" t="s">
        <v>152</v>
      </c>
      <c r="U8" s="20" t="s">
        <v>163</v>
      </c>
      <c r="V8" s="20" t="s">
        <v>154</v>
      </c>
      <c r="W8" s="20" t="s">
        <v>155</v>
      </c>
      <c r="X8" s="20" t="s">
        <v>156</v>
      </c>
      <c r="Y8" s="20" t="s">
        <v>157</v>
      </c>
      <c r="Z8" s="6"/>
      <c r="AA8" s="30" t="str">
        <f t="shared" si="0"/>
        <v>PR-SS-EMU-T02</v>
      </c>
      <c r="AB8" s="30">
        <f t="shared" si="1"/>
        <v>2025</v>
      </c>
      <c r="AC8" s="31">
        <v>0</v>
      </c>
      <c r="AD8" s="30">
        <f t="shared" si="2"/>
        <v>4</v>
      </c>
      <c r="AE8" s="32">
        <f t="shared" si="3"/>
        <v>0.64700000000000002</v>
      </c>
      <c r="AF8" s="33">
        <f t="shared" si="4"/>
        <v>5</v>
      </c>
      <c r="AG8" s="34" t="str">
        <f t="shared" si="5"/>
        <v>Crítico</v>
      </c>
    </row>
    <row r="9" spans="1:33" ht="18.649999999999999" customHeight="1" x14ac:dyDescent="0.35">
      <c r="A9" s="16">
        <v>5</v>
      </c>
      <c r="B9" s="16" t="s">
        <v>60</v>
      </c>
      <c r="C9" s="16" t="s">
        <v>164</v>
      </c>
      <c r="D9" s="16" t="s">
        <v>125</v>
      </c>
      <c r="E9" s="16" t="s">
        <v>57</v>
      </c>
      <c r="F9" s="15" t="s">
        <v>165</v>
      </c>
      <c r="G9" s="15" t="s">
        <v>166</v>
      </c>
      <c r="H9" s="23">
        <v>45812</v>
      </c>
      <c r="I9" s="15">
        <v>1</v>
      </c>
      <c r="J9" s="15" t="s">
        <v>167</v>
      </c>
      <c r="K9" s="15" t="s">
        <v>168</v>
      </c>
      <c r="L9" s="15" t="s">
        <v>169</v>
      </c>
      <c r="M9" s="6"/>
      <c r="N9" s="6"/>
      <c r="O9" s="6"/>
      <c r="P9" s="6"/>
      <c r="Q9" s="6"/>
      <c r="R9" s="15" t="s">
        <v>170</v>
      </c>
      <c r="S9" s="15" t="s">
        <v>171</v>
      </c>
      <c r="T9" s="15" t="s">
        <v>172</v>
      </c>
      <c r="U9" s="15" t="s">
        <v>173</v>
      </c>
      <c r="V9" s="15" t="s">
        <v>174</v>
      </c>
      <c r="W9" s="15" t="s">
        <v>175</v>
      </c>
      <c r="X9" s="15" t="s">
        <v>176</v>
      </c>
      <c r="Y9" s="15" t="s">
        <v>177</v>
      </c>
      <c r="Z9" s="6"/>
      <c r="AA9" s="24" t="str">
        <f t="shared" si="0"/>
        <v>PR-SS-CON-T01</v>
      </c>
      <c r="AB9" s="24">
        <f t="shared" si="1"/>
        <v>2025</v>
      </c>
      <c r="AC9" s="25">
        <v>0</v>
      </c>
      <c r="AD9" s="24">
        <f t="shared" si="2"/>
        <v>12</v>
      </c>
      <c r="AE9" s="26">
        <f t="shared" si="3"/>
        <v>0.64700000000000002</v>
      </c>
      <c r="AF9" s="27">
        <f t="shared" si="4"/>
        <v>6</v>
      </c>
      <c r="AG9" s="28" t="str">
        <f t="shared" si="5"/>
        <v>Crítico</v>
      </c>
    </row>
    <row r="10" spans="1:33" ht="18.649999999999999" customHeight="1" x14ac:dyDescent="0.35">
      <c r="A10" s="19">
        <v>6</v>
      </c>
      <c r="B10" s="19" t="s">
        <v>60</v>
      </c>
      <c r="C10" s="19" t="s">
        <v>164</v>
      </c>
      <c r="D10" s="19" t="s">
        <v>125</v>
      </c>
      <c r="E10" s="19" t="s">
        <v>57</v>
      </c>
      <c r="F10" s="20" t="s">
        <v>165</v>
      </c>
      <c r="G10" s="20" t="s">
        <v>166</v>
      </c>
      <c r="H10" s="29">
        <v>45812</v>
      </c>
      <c r="I10" s="20">
        <v>2</v>
      </c>
      <c r="J10" s="20" t="s">
        <v>178</v>
      </c>
      <c r="K10" s="20" t="s">
        <v>179</v>
      </c>
      <c r="L10" s="20" t="s">
        <v>180</v>
      </c>
      <c r="M10" s="6"/>
      <c r="N10" s="6"/>
      <c r="O10" s="6"/>
      <c r="P10" s="6"/>
      <c r="Q10" s="6"/>
      <c r="R10" s="20" t="s">
        <v>181</v>
      </c>
      <c r="S10" s="20" t="s">
        <v>182</v>
      </c>
      <c r="T10" s="6"/>
      <c r="U10" s="20" t="s">
        <v>183</v>
      </c>
      <c r="V10" s="20" t="s">
        <v>174</v>
      </c>
      <c r="W10" s="20" t="s">
        <v>175</v>
      </c>
      <c r="X10" s="20" t="s">
        <v>176</v>
      </c>
      <c r="Y10" s="20" t="s">
        <v>177</v>
      </c>
      <c r="Z10" s="6"/>
      <c r="AA10" s="30" t="str">
        <f t="shared" si="0"/>
        <v>PR-SS-CON-T02</v>
      </c>
      <c r="AB10" s="30">
        <f t="shared" si="1"/>
        <v>2025</v>
      </c>
      <c r="AC10" s="31">
        <v>0</v>
      </c>
      <c r="AD10" s="30">
        <f t="shared" si="2"/>
        <v>7</v>
      </c>
      <c r="AE10" s="32">
        <f t="shared" si="3"/>
        <v>0.58799999999999997</v>
      </c>
      <c r="AF10" s="33">
        <f t="shared" si="4"/>
        <v>6</v>
      </c>
      <c r="AG10" s="34" t="str">
        <f t="shared" si="5"/>
        <v>Crítico</v>
      </c>
    </row>
    <row r="11" spans="1:33" ht="18.649999999999999" customHeight="1" x14ac:dyDescent="0.35">
      <c r="A11" s="16">
        <v>7</v>
      </c>
      <c r="B11" s="16" t="s">
        <v>87</v>
      </c>
      <c r="C11" s="16" t="s">
        <v>184</v>
      </c>
      <c r="D11" s="16" t="s">
        <v>185</v>
      </c>
      <c r="E11" s="16" t="s">
        <v>57</v>
      </c>
      <c r="F11" s="15" t="s">
        <v>186</v>
      </c>
      <c r="G11" s="15" t="s">
        <v>127</v>
      </c>
      <c r="H11" s="23">
        <v>45812</v>
      </c>
      <c r="I11" s="15">
        <v>1</v>
      </c>
      <c r="J11" s="15" t="s">
        <v>187</v>
      </c>
      <c r="K11" s="15" t="s">
        <v>188</v>
      </c>
      <c r="L11" s="15" t="s">
        <v>189</v>
      </c>
      <c r="M11" s="6"/>
      <c r="N11" s="6"/>
      <c r="O11" s="6"/>
      <c r="P11" s="6"/>
      <c r="Q11" s="6"/>
      <c r="R11" s="15" t="s">
        <v>190</v>
      </c>
      <c r="S11" s="15" t="s">
        <v>191</v>
      </c>
      <c r="T11" s="15" t="s">
        <v>192</v>
      </c>
      <c r="U11" s="15" t="s">
        <v>173</v>
      </c>
      <c r="V11" s="15" t="s">
        <v>193</v>
      </c>
      <c r="W11" s="15" t="s">
        <v>194</v>
      </c>
      <c r="X11" s="15" t="s">
        <v>193</v>
      </c>
      <c r="Y11" s="15" t="s">
        <v>195</v>
      </c>
      <c r="Z11" s="6"/>
      <c r="AA11" s="24" t="str">
        <f t="shared" si="0"/>
        <v>PR-SS-SSC-T01</v>
      </c>
      <c r="AB11" s="24">
        <f t="shared" si="1"/>
        <v>2025</v>
      </c>
      <c r="AC11" s="25">
        <v>16585</v>
      </c>
      <c r="AD11" s="24">
        <f t="shared" si="2"/>
        <v>12</v>
      </c>
      <c r="AE11" s="26">
        <f t="shared" si="3"/>
        <v>0.64700000000000002</v>
      </c>
      <c r="AF11" s="27">
        <f t="shared" si="4"/>
        <v>5</v>
      </c>
      <c r="AG11" s="28" t="str">
        <f t="shared" si="5"/>
        <v>Crítico</v>
      </c>
    </row>
    <row r="12" spans="1:33" ht="18.649999999999999" customHeight="1" x14ac:dyDescent="0.35">
      <c r="A12" s="19">
        <v>8</v>
      </c>
      <c r="B12" s="19" t="s">
        <v>87</v>
      </c>
      <c r="C12" s="19" t="s">
        <v>184</v>
      </c>
      <c r="D12" s="19" t="s">
        <v>185</v>
      </c>
      <c r="E12" s="19" t="s">
        <v>57</v>
      </c>
      <c r="F12" s="20" t="s">
        <v>186</v>
      </c>
      <c r="G12" s="20" t="s">
        <v>127</v>
      </c>
      <c r="H12" s="29">
        <v>45812</v>
      </c>
      <c r="I12" s="20">
        <v>2</v>
      </c>
      <c r="J12" s="20" t="s">
        <v>196</v>
      </c>
      <c r="K12" s="20" t="s">
        <v>197</v>
      </c>
      <c r="L12" s="20" t="s">
        <v>198</v>
      </c>
      <c r="M12" s="6"/>
      <c r="N12" s="6"/>
      <c r="O12" s="6"/>
      <c r="P12" s="6"/>
      <c r="Q12" s="6"/>
      <c r="R12" s="20" t="s">
        <v>190</v>
      </c>
      <c r="S12" s="20" t="s">
        <v>199</v>
      </c>
      <c r="T12" s="20" t="s">
        <v>200</v>
      </c>
      <c r="U12" s="20" t="s">
        <v>173</v>
      </c>
      <c r="V12" s="20" t="s">
        <v>193</v>
      </c>
      <c r="W12" s="20" t="s">
        <v>194</v>
      </c>
      <c r="X12" s="20" t="s">
        <v>193</v>
      </c>
      <c r="Y12" s="20" t="s">
        <v>195</v>
      </c>
      <c r="Z12" s="6"/>
      <c r="AA12" s="30" t="str">
        <f t="shared" si="0"/>
        <v>PR-SS-SSC-T02</v>
      </c>
      <c r="AB12" s="30">
        <f t="shared" si="1"/>
        <v>2025</v>
      </c>
      <c r="AC12" s="31">
        <v>11155</v>
      </c>
      <c r="AD12" s="30">
        <f t="shared" si="2"/>
        <v>12</v>
      </c>
      <c r="AE12" s="32">
        <f t="shared" si="3"/>
        <v>0.64700000000000002</v>
      </c>
      <c r="AF12" s="33">
        <f t="shared" si="4"/>
        <v>5</v>
      </c>
      <c r="AG12" s="34" t="str">
        <f t="shared" si="5"/>
        <v>Crítico</v>
      </c>
    </row>
    <row r="13" spans="1:33" ht="18.649999999999999" customHeight="1" x14ac:dyDescent="0.35">
      <c r="A13" s="16">
        <v>9</v>
      </c>
      <c r="B13" s="16" t="s">
        <v>87</v>
      </c>
      <c r="C13" s="16" t="s">
        <v>184</v>
      </c>
      <c r="D13" s="16" t="s">
        <v>185</v>
      </c>
      <c r="E13" s="16" t="s">
        <v>57</v>
      </c>
      <c r="F13" s="15" t="s">
        <v>186</v>
      </c>
      <c r="G13" s="15" t="s">
        <v>127</v>
      </c>
      <c r="H13" s="23">
        <v>45812</v>
      </c>
      <c r="I13" s="15">
        <v>3</v>
      </c>
      <c r="J13" s="15" t="s">
        <v>201</v>
      </c>
      <c r="K13" s="15" t="s">
        <v>202</v>
      </c>
      <c r="L13" s="15" t="s">
        <v>203</v>
      </c>
      <c r="M13" s="6"/>
      <c r="N13" s="6"/>
      <c r="O13" s="6"/>
      <c r="P13" s="6"/>
      <c r="Q13" s="6"/>
      <c r="R13" s="15" t="s">
        <v>204</v>
      </c>
      <c r="S13" s="15" t="s">
        <v>205</v>
      </c>
      <c r="T13" s="15" t="s">
        <v>206</v>
      </c>
      <c r="U13" s="15" t="s">
        <v>207</v>
      </c>
      <c r="V13" s="15" t="s">
        <v>193</v>
      </c>
      <c r="W13" s="15" t="s">
        <v>194</v>
      </c>
      <c r="X13" s="15" t="s">
        <v>193</v>
      </c>
      <c r="Y13" s="15" t="s">
        <v>195</v>
      </c>
      <c r="Z13" s="6"/>
      <c r="AA13" s="24" t="str">
        <f t="shared" si="0"/>
        <v>PR-SS-SSC-T03</v>
      </c>
      <c r="AB13" s="24">
        <f t="shared" si="1"/>
        <v>2025</v>
      </c>
      <c r="AC13" s="25">
        <v>10649</v>
      </c>
      <c r="AD13" s="24">
        <f t="shared" si="2"/>
        <v>10</v>
      </c>
      <c r="AE13" s="26">
        <f t="shared" si="3"/>
        <v>0.64700000000000002</v>
      </c>
      <c r="AF13" s="27">
        <f t="shared" si="4"/>
        <v>5</v>
      </c>
      <c r="AG13" s="28" t="str">
        <f t="shared" si="5"/>
        <v>Crítico</v>
      </c>
    </row>
    <row r="14" spans="1:33" ht="18.649999999999999" customHeight="1" x14ac:dyDescent="0.35">
      <c r="A14" s="19">
        <v>10</v>
      </c>
      <c r="B14" s="19" t="s">
        <v>87</v>
      </c>
      <c r="C14" s="19" t="s">
        <v>184</v>
      </c>
      <c r="D14" s="19" t="s">
        <v>185</v>
      </c>
      <c r="E14" s="19" t="s">
        <v>57</v>
      </c>
      <c r="F14" s="20" t="s">
        <v>186</v>
      </c>
      <c r="G14" s="20" t="s">
        <v>127</v>
      </c>
      <c r="H14" s="29">
        <v>45812</v>
      </c>
      <c r="I14" s="20">
        <v>4</v>
      </c>
      <c r="J14" s="20" t="s">
        <v>208</v>
      </c>
      <c r="K14" s="20" t="s">
        <v>209</v>
      </c>
      <c r="L14" s="20" t="s">
        <v>210</v>
      </c>
      <c r="M14" s="6"/>
      <c r="N14" s="6"/>
      <c r="O14" s="6"/>
      <c r="P14" s="6"/>
      <c r="Q14" s="6"/>
      <c r="R14" s="20" t="s">
        <v>211</v>
      </c>
      <c r="S14" s="20" t="s">
        <v>212</v>
      </c>
      <c r="T14" s="20" t="s">
        <v>213</v>
      </c>
      <c r="U14" s="20" t="s">
        <v>214</v>
      </c>
      <c r="V14" s="20" t="s">
        <v>193</v>
      </c>
      <c r="W14" s="20" t="s">
        <v>194</v>
      </c>
      <c r="X14" s="20" t="s">
        <v>193</v>
      </c>
      <c r="Y14" s="20" t="s">
        <v>195</v>
      </c>
      <c r="Z14" s="6"/>
      <c r="AA14" s="30" t="str">
        <f t="shared" si="0"/>
        <v>PR-SS-SSC-T04</v>
      </c>
      <c r="AB14" s="30">
        <f t="shared" si="1"/>
        <v>2025</v>
      </c>
      <c r="AC14" s="31">
        <v>30000</v>
      </c>
      <c r="AD14" s="30">
        <f t="shared" si="2"/>
        <v>9</v>
      </c>
      <c r="AE14" s="32">
        <f t="shared" si="3"/>
        <v>0.64700000000000002</v>
      </c>
      <c r="AF14" s="33">
        <f t="shared" si="4"/>
        <v>5</v>
      </c>
      <c r="AG14" s="34" t="str">
        <f t="shared" si="5"/>
        <v>Crítico</v>
      </c>
    </row>
    <row r="15" spans="1:33" ht="18.649999999999999" customHeight="1" x14ac:dyDescent="0.35">
      <c r="A15" s="16">
        <v>11</v>
      </c>
      <c r="B15" s="16" t="s">
        <v>68</v>
      </c>
      <c r="C15" s="16" t="s">
        <v>215</v>
      </c>
      <c r="D15" s="16" t="s">
        <v>125</v>
      </c>
      <c r="E15" s="16" t="s">
        <v>57</v>
      </c>
      <c r="F15" s="15" t="s">
        <v>216</v>
      </c>
      <c r="G15" s="15" t="s">
        <v>127</v>
      </c>
      <c r="H15" s="23">
        <v>45813</v>
      </c>
      <c r="I15" s="15">
        <v>1</v>
      </c>
      <c r="J15" s="15" t="s">
        <v>217</v>
      </c>
      <c r="K15" s="15" t="s">
        <v>218</v>
      </c>
      <c r="L15" s="15" t="s">
        <v>219</v>
      </c>
      <c r="M15" s="6"/>
      <c r="N15" s="6"/>
      <c r="O15" s="6"/>
      <c r="P15" s="6"/>
      <c r="Q15" s="6"/>
      <c r="R15" s="15" t="s">
        <v>220</v>
      </c>
      <c r="S15" s="15" t="s">
        <v>221</v>
      </c>
      <c r="T15" s="15" t="s">
        <v>222</v>
      </c>
      <c r="U15" s="15" t="s">
        <v>223</v>
      </c>
      <c r="V15" s="15" t="s">
        <v>224</v>
      </c>
      <c r="W15" s="15" t="s">
        <v>225</v>
      </c>
      <c r="X15" s="15" t="s">
        <v>226</v>
      </c>
      <c r="Y15" s="15" t="s">
        <v>227</v>
      </c>
      <c r="Z15" s="6"/>
      <c r="AA15" s="24" t="str">
        <f t="shared" si="0"/>
        <v>PR-SS-MSC-T01</v>
      </c>
      <c r="AB15" s="24">
        <f t="shared" si="1"/>
        <v>2025</v>
      </c>
      <c r="AC15" s="25">
        <v>8442</v>
      </c>
      <c r="AD15" s="24">
        <f t="shared" si="2"/>
        <v>2</v>
      </c>
      <c r="AE15" s="26">
        <f t="shared" si="3"/>
        <v>0.64700000000000002</v>
      </c>
      <c r="AF15" s="27">
        <f t="shared" si="4"/>
        <v>5</v>
      </c>
      <c r="AG15" s="28" t="str">
        <f t="shared" si="5"/>
        <v>Crítico</v>
      </c>
    </row>
    <row r="16" spans="1:33" ht="18.649999999999999" customHeight="1" x14ac:dyDescent="0.35">
      <c r="A16" s="19">
        <v>12</v>
      </c>
      <c r="B16" s="19" t="s">
        <v>68</v>
      </c>
      <c r="C16" s="19" t="s">
        <v>215</v>
      </c>
      <c r="D16" s="19" t="s">
        <v>125</v>
      </c>
      <c r="E16" s="19" t="s">
        <v>57</v>
      </c>
      <c r="F16" s="20" t="s">
        <v>216</v>
      </c>
      <c r="G16" s="20" t="s">
        <v>127</v>
      </c>
      <c r="H16" s="29">
        <v>45813</v>
      </c>
      <c r="I16" s="20">
        <v>2</v>
      </c>
      <c r="J16" s="20" t="s">
        <v>228</v>
      </c>
      <c r="K16" s="20" t="s">
        <v>229</v>
      </c>
      <c r="L16" s="20" t="s">
        <v>230</v>
      </c>
      <c r="M16" s="6"/>
      <c r="N16" s="6"/>
      <c r="O16" s="6"/>
      <c r="P16" s="6"/>
      <c r="Q16" s="6"/>
      <c r="R16" s="20" t="s">
        <v>220</v>
      </c>
      <c r="S16" s="20" t="s">
        <v>231</v>
      </c>
      <c r="T16" s="20" t="s">
        <v>232</v>
      </c>
      <c r="U16" s="20" t="s">
        <v>223</v>
      </c>
      <c r="V16" s="20" t="s">
        <v>224</v>
      </c>
      <c r="W16" s="20" t="s">
        <v>225</v>
      </c>
      <c r="X16" s="20" t="s">
        <v>226</v>
      </c>
      <c r="Y16" s="20" t="s">
        <v>227</v>
      </c>
      <c r="Z16" s="6"/>
      <c r="AA16" s="30" t="str">
        <f t="shared" si="0"/>
        <v>PR-SS-MSC-T02</v>
      </c>
      <c r="AB16" s="30">
        <f t="shared" si="1"/>
        <v>2025</v>
      </c>
      <c r="AC16" s="31">
        <v>6044</v>
      </c>
      <c r="AD16" s="30">
        <f t="shared" si="2"/>
        <v>2</v>
      </c>
      <c r="AE16" s="32">
        <f t="shared" si="3"/>
        <v>0.64700000000000002</v>
      </c>
      <c r="AF16" s="33">
        <f t="shared" si="4"/>
        <v>5</v>
      </c>
      <c r="AG16" s="34" t="str">
        <f t="shared" si="5"/>
        <v>Crítico</v>
      </c>
    </row>
    <row r="17" spans="1:33" ht="18.649999999999999" customHeight="1" x14ac:dyDescent="0.35">
      <c r="A17" s="16">
        <v>13</v>
      </c>
      <c r="B17" s="16" t="s">
        <v>73</v>
      </c>
      <c r="C17" s="16" t="s">
        <v>233</v>
      </c>
      <c r="D17" s="16" t="s">
        <v>125</v>
      </c>
      <c r="E17" s="16" t="s">
        <v>57</v>
      </c>
      <c r="F17" s="15" t="s">
        <v>234</v>
      </c>
      <c r="G17" s="15" t="s">
        <v>127</v>
      </c>
      <c r="H17" s="23">
        <v>45817</v>
      </c>
      <c r="I17" s="15">
        <v>1</v>
      </c>
      <c r="J17" s="15" t="s">
        <v>235</v>
      </c>
      <c r="K17" s="15" t="s">
        <v>236</v>
      </c>
      <c r="L17" s="15" t="s">
        <v>237</v>
      </c>
      <c r="M17" s="6"/>
      <c r="N17" s="6"/>
      <c r="O17" s="6"/>
      <c r="P17" s="6"/>
      <c r="Q17" s="6"/>
      <c r="R17" s="15" t="s">
        <v>238</v>
      </c>
      <c r="S17" s="15" t="s">
        <v>239</v>
      </c>
      <c r="T17" s="15" t="s">
        <v>240</v>
      </c>
      <c r="U17" s="15" t="s">
        <v>241</v>
      </c>
      <c r="V17" s="15" t="s">
        <v>242</v>
      </c>
      <c r="W17" s="15" t="s">
        <v>243</v>
      </c>
      <c r="X17" s="15" t="s">
        <v>242</v>
      </c>
      <c r="Y17" s="15" t="s">
        <v>244</v>
      </c>
      <c r="Z17" s="6"/>
      <c r="AA17" s="24" t="str">
        <f t="shared" si="0"/>
        <v>PR-SS-PCS-T01</v>
      </c>
      <c r="AB17" s="24">
        <f t="shared" si="1"/>
        <v>2025</v>
      </c>
      <c r="AC17" s="25">
        <v>5887</v>
      </c>
      <c r="AD17" s="24">
        <f t="shared" si="2"/>
        <v>5</v>
      </c>
      <c r="AE17" s="26">
        <f t="shared" si="3"/>
        <v>0.64700000000000002</v>
      </c>
      <c r="AF17" s="27">
        <f t="shared" si="4"/>
        <v>5</v>
      </c>
      <c r="AG17" s="28" t="str">
        <f t="shared" si="5"/>
        <v>Crítico</v>
      </c>
    </row>
    <row r="18" spans="1:33" ht="18.649999999999999" customHeight="1" x14ac:dyDescent="0.35">
      <c r="A18" s="19">
        <v>14</v>
      </c>
      <c r="B18" s="19" t="s">
        <v>73</v>
      </c>
      <c r="C18" s="19" t="s">
        <v>233</v>
      </c>
      <c r="D18" s="19" t="s">
        <v>125</v>
      </c>
      <c r="E18" s="19" t="s">
        <v>57</v>
      </c>
      <c r="F18" s="20" t="s">
        <v>234</v>
      </c>
      <c r="G18" s="20" t="s">
        <v>127</v>
      </c>
      <c r="H18" s="29">
        <v>45817</v>
      </c>
      <c r="I18" s="20">
        <v>1</v>
      </c>
      <c r="J18" s="20" t="s">
        <v>245</v>
      </c>
      <c r="K18" s="20" t="s">
        <v>246</v>
      </c>
      <c r="L18" s="20" t="s">
        <v>237</v>
      </c>
      <c r="M18" s="6"/>
      <c r="N18" s="6"/>
      <c r="O18" s="6"/>
      <c r="P18" s="6"/>
      <c r="Q18" s="6"/>
      <c r="R18" s="20" t="s">
        <v>247</v>
      </c>
      <c r="S18" s="20" t="s">
        <v>248</v>
      </c>
      <c r="T18" s="20" t="s">
        <v>249</v>
      </c>
      <c r="U18" s="20" t="s">
        <v>250</v>
      </c>
      <c r="V18" s="20" t="s">
        <v>242</v>
      </c>
      <c r="W18" s="20" t="s">
        <v>243</v>
      </c>
      <c r="X18" s="20" t="s">
        <v>242</v>
      </c>
      <c r="Y18" s="20" t="s">
        <v>244</v>
      </c>
      <c r="Z18" s="6"/>
      <c r="AA18" s="30" t="str">
        <f t="shared" si="0"/>
        <v>PR-SS-PCS-T01</v>
      </c>
      <c r="AB18" s="30">
        <f t="shared" si="1"/>
        <v>2025</v>
      </c>
      <c r="AC18" s="31">
        <v>821</v>
      </c>
      <c r="AD18" s="30">
        <f t="shared" si="2"/>
        <v>4</v>
      </c>
      <c r="AE18" s="32">
        <f t="shared" si="3"/>
        <v>0.64700000000000002</v>
      </c>
      <c r="AF18" s="33">
        <f t="shared" si="4"/>
        <v>5</v>
      </c>
      <c r="AG18" s="34" t="str">
        <f t="shared" si="5"/>
        <v>Crítico</v>
      </c>
    </row>
    <row r="19" spans="1:33" ht="18.649999999999999" customHeight="1" x14ac:dyDescent="0.35">
      <c r="A19" s="16">
        <v>15</v>
      </c>
      <c r="B19" s="16" t="s">
        <v>55</v>
      </c>
      <c r="C19" s="16" t="s">
        <v>251</v>
      </c>
      <c r="D19" s="16" t="s">
        <v>125</v>
      </c>
      <c r="E19" s="16" t="s">
        <v>57</v>
      </c>
      <c r="F19" s="15" t="s">
        <v>252</v>
      </c>
      <c r="G19" s="15" t="s">
        <v>166</v>
      </c>
      <c r="H19" s="23">
        <v>45819</v>
      </c>
      <c r="I19" s="15">
        <v>1</v>
      </c>
      <c r="J19" s="15" t="s">
        <v>253</v>
      </c>
      <c r="K19" s="15" t="s">
        <v>254</v>
      </c>
      <c r="L19" s="15" t="s">
        <v>255</v>
      </c>
      <c r="M19" s="6"/>
      <c r="N19" s="6"/>
      <c r="O19" s="6"/>
      <c r="P19" s="6"/>
      <c r="Q19" s="6"/>
      <c r="R19" s="15" t="s">
        <v>256</v>
      </c>
      <c r="S19" s="15" t="s">
        <v>257</v>
      </c>
      <c r="T19" s="6"/>
      <c r="U19" s="15" t="s">
        <v>258</v>
      </c>
      <c r="V19" s="15" t="s">
        <v>259</v>
      </c>
      <c r="W19" s="15" t="s">
        <v>260</v>
      </c>
      <c r="X19" s="15" t="s">
        <v>261</v>
      </c>
      <c r="Y19" s="15" t="s">
        <v>262</v>
      </c>
      <c r="Z19" s="6"/>
      <c r="AA19" s="24" t="str">
        <f t="shared" si="0"/>
        <v>PR-SS-AAE-T01</v>
      </c>
      <c r="AB19" s="24">
        <f t="shared" si="1"/>
        <v>2025</v>
      </c>
      <c r="AC19" s="25">
        <v>0</v>
      </c>
      <c r="AD19" s="24">
        <f t="shared" si="2"/>
        <v>7</v>
      </c>
      <c r="AE19" s="26">
        <f t="shared" si="3"/>
        <v>0.58799999999999997</v>
      </c>
      <c r="AF19" s="27">
        <f t="shared" si="4"/>
        <v>6</v>
      </c>
      <c r="AG19" s="28" t="str">
        <f t="shared" si="5"/>
        <v>Crítico</v>
      </c>
    </row>
    <row r="20" spans="1:33" ht="18.649999999999999" customHeight="1" x14ac:dyDescent="0.35">
      <c r="A20" s="19">
        <v>16</v>
      </c>
      <c r="B20" s="19" t="s">
        <v>55</v>
      </c>
      <c r="C20" s="19" t="s">
        <v>251</v>
      </c>
      <c r="D20" s="19" t="s">
        <v>125</v>
      </c>
      <c r="E20" s="19" t="s">
        <v>57</v>
      </c>
      <c r="F20" s="20" t="s">
        <v>252</v>
      </c>
      <c r="G20" s="20" t="s">
        <v>166</v>
      </c>
      <c r="H20" s="29">
        <v>45819</v>
      </c>
      <c r="I20" s="20">
        <v>2</v>
      </c>
      <c r="J20" s="20" t="s">
        <v>263</v>
      </c>
      <c r="K20" s="20" t="s">
        <v>264</v>
      </c>
      <c r="L20" s="20" t="s">
        <v>265</v>
      </c>
      <c r="M20" s="6"/>
      <c r="N20" s="6"/>
      <c r="O20" s="6"/>
      <c r="P20" s="6"/>
      <c r="Q20" s="6"/>
      <c r="R20" s="20" t="s">
        <v>266</v>
      </c>
      <c r="S20" s="20" t="s">
        <v>267</v>
      </c>
      <c r="T20" s="6"/>
      <c r="U20" s="20" t="s">
        <v>268</v>
      </c>
      <c r="V20" s="20" t="s">
        <v>259</v>
      </c>
      <c r="W20" s="20" t="s">
        <v>260</v>
      </c>
      <c r="X20" s="20" t="s">
        <v>261</v>
      </c>
      <c r="Y20" s="20" t="s">
        <v>262</v>
      </c>
      <c r="Z20" s="6"/>
      <c r="AA20" s="30" t="str">
        <f t="shared" si="0"/>
        <v>PR-SS-AAE-T02</v>
      </c>
      <c r="AB20" s="30">
        <f t="shared" si="1"/>
        <v>2025</v>
      </c>
      <c r="AC20" s="31">
        <v>0</v>
      </c>
      <c r="AD20" s="30">
        <f t="shared" si="2"/>
        <v>3</v>
      </c>
      <c r="AE20" s="32">
        <f t="shared" si="3"/>
        <v>0.58799999999999997</v>
      </c>
      <c r="AF20" s="33">
        <f t="shared" si="4"/>
        <v>6</v>
      </c>
      <c r="AG20" s="34" t="str">
        <f t="shared" si="5"/>
        <v>Crítico</v>
      </c>
    </row>
    <row r="21" spans="1:33" ht="18.649999999999999" customHeight="1" x14ac:dyDescent="0.35">
      <c r="A21" s="16">
        <v>17</v>
      </c>
      <c r="B21" s="16" t="s">
        <v>79</v>
      </c>
      <c r="C21" s="16" t="s">
        <v>269</v>
      </c>
      <c r="D21" s="16" t="s">
        <v>125</v>
      </c>
      <c r="E21" s="16" t="s">
        <v>57</v>
      </c>
      <c r="F21" s="15" t="s">
        <v>270</v>
      </c>
      <c r="G21" s="15" t="s">
        <v>127</v>
      </c>
      <c r="H21" s="23">
        <v>45826</v>
      </c>
      <c r="I21" s="15">
        <v>1</v>
      </c>
      <c r="J21" s="15" t="s">
        <v>271</v>
      </c>
      <c r="K21" s="15" t="s">
        <v>272</v>
      </c>
      <c r="L21" s="15" t="s">
        <v>273</v>
      </c>
      <c r="M21" s="6"/>
      <c r="N21" s="6"/>
      <c r="O21" s="6"/>
      <c r="P21" s="6"/>
      <c r="Q21" s="6"/>
      <c r="R21" s="15" t="s">
        <v>274</v>
      </c>
      <c r="S21" s="15" t="s">
        <v>275</v>
      </c>
      <c r="T21" s="6"/>
      <c r="U21" s="15" t="s">
        <v>173</v>
      </c>
      <c r="V21" s="15" t="s">
        <v>276</v>
      </c>
      <c r="W21" s="15" t="s">
        <v>277</v>
      </c>
      <c r="X21" s="15" t="s">
        <v>278</v>
      </c>
      <c r="Y21" s="15" t="s">
        <v>279</v>
      </c>
      <c r="Z21" s="6"/>
      <c r="AA21" s="24" t="str">
        <f t="shared" si="0"/>
        <v>PR-SS-QRI-T01</v>
      </c>
      <c r="AB21" s="24">
        <f t="shared" si="1"/>
        <v>2025</v>
      </c>
      <c r="AC21" s="25">
        <v>0</v>
      </c>
      <c r="AD21" s="24">
        <f t="shared" si="2"/>
        <v>12</v>
      </c>
      <c r="AE21" s="26">
        <f t="shared" si="3"/>
        <v>0.58799999999999997</v>
      </c>
      <c r="AF21" s="27">
        <f t="shared" si="4"/>
        <v>6</v>
      </c>
      <c r="AG21" s="28" t="str">
        <f t="shared" si="5"/>
        <v>Crítico</v>
      </c>
    </row>
    <row r="22" spans="1:33" ht="18.649999999999999" customHeight="1" x14ac:dyDescent="0.35">
      <c r="A22" s="19">
        <v>18</v>
      </c>
      <c r="B22" s="19" t="s">
        <v>79</v>
      </c>
      <c r="C22" s="19" t="s">
        <v>269</v>
      </c>
      <c r="D22" s="19" t="s">
        <v>125</v>
      </c>
      <c r="E22" s="19" t="s">
        <v>57</v>
      </c>
      <c r="F22" s="20" t="s">
        <v>270</v>
      </c>
      <c r="G22" s="20" t="s">
        <v>127</v>
      </c>
      <c r="H22" s="29">
        <v>45826</v>
      </c>
      <c r="I22" s="20">
        <v>2</v>
      </c>
      <c r="J22" s="20" t="s">
        <v>280</v>
      </c>
      <c r="K22" s="20" t="s">
        <v>281</v>
      </c>
      <c r="L22" s="20" t="s">
        <v>282</v>
      </c>
      <c r="M22" s="6"/>
      <c r="N22" s="6"/>
      <c r="O22" s="6"/>
      <c r="P22" s="6"/>
      <c r="Q22" s="6"/>
      <c r="R22" s="20" t="s">
        <v>283</v>
      </c>
      <c r="S22" s="20" t="s">
        <v>275</v>
      </c>
      <c r="T22" s="6"/>
      <c r="U22" s="20" t="s">
        <v>173</v>
      </c>
      <c r="V22" s="20" t="s">
        <v>276</v>
      </c>
      <c r="W22" s="20" t="s">
        <v>277</v>
      </c>
      <c r="X22" s="20" t="s">
        <v>278</v>
      </c>
      <c r="Y22" s="20" t="s">
        <v>279</v>
      </c>
      <c r="Z22" s="6"/>
      <c r="AA22" s="30" t="str">
        <f t="shared" si="0"/>
        <v>PR-SS-QRI-T02</v>
      </c>
      <c r="AB22" s="30">
        <f t="shared" si="1"/>
        <v>2025</v>
      </c>
      <c r="AC22" s="31">
        <v>0</v>
      </c>
      <c r="AD22" s="30">
        <f t="shared" si="2"/>
        <v>12</v>
      </c>
      <c r="AE22" s="32">
        <f t="shared" si="3"/>
        <v>0.58799999999999997</v>
      </c>
      <c r="AF22" s="33">
        <f t="shared" si="4"/>
        <v>6</v>
      </c>
      <c r="AG22" s="34" t="str">
        <f t="shared" si="5"/>
        <v>Crítico</v>
      </c>
    </row>
    <row r="23" spans="1:33" ht="18.649999999999999" customHeight="1" x14ac:dyDescent="0.35">
      <c r="A23" s="16">
        <v>19</v>
      </c>
      <c r="B23" s="16" t="s">
        <v>75</v>
      </c>
      <c r="C23" s="16" t="s">
        <v>284</v>
      </c>
      <c r="D23" s="16" t="s">
        <v>125</v>
      </c>
      <c r="E23" s="16" t="s">
        <v>57</v>
      </c>
      <c r="F23" s="15" t="s">
        <v>285</v>
      </c>
      <c r="G23" s="15" t="s">
        <v>127</v>
      </c>
      <c r="H23" s="23">
        <v>45826</v>
      </c>
      <c r="I23" s="15">
        <v>1</v>
      </c>
      <c r="J23" s="15" t="s">
        <v>286</v>
      </c>
      <c r="K23" s="15" t="s">
        <v>287</v>
      </c>
      <c r="L23" s="15" t="s">
        <v>288</v>
      </c>
      <c r="M23" s="6"/>
      <c r="N23" s="6"/>
      <c r="O23" s="6"/>
      <c r="P23" s="6"/>
      <c r="Q23" s="6"/>
      <c r="R23" s="15" t="s">
        <v>289</v>
      </c>
      <c r="S23" s="15" t="s">
        <v>290</v>
      </c>
      <c r="T23" s="15" t="s">
        <v>172</v>
      </c>
      <c r="U23" s="15" t="s">
        <v>291</v>
      </c>
      <c r="V23" s="15" t="s">
        <v>292</v>
      </c>
      <c r="W23" s="15" t="s">
        <v>293</v>
      </c>
      <c r="X23" s="15" t="s">
        <v>294</v>
      </c>
      <c r="Y23" s="15" t="s">
        <v>295</v>
      </c>
      <c r="Z23" s="6"/>
      <c r="AA23" s="24" t="str">
        <f t="shared" si="0"/>
        <v>PR-SS-PCU-T01</v>
      </c>
      <c r="AB23" s="24">
        <f t="shared" si="1"/>
        <v>2025</v>
      </c>
      <c r="AC23" s="25">
        <v>0</v>
      </c>
      <c r="AD23" s="24">
        <f t="shared" si="2"/>
        <v>4</v>
      </c>
      <c r="AE23" s="26">
        <f t="shared" si="3"/>
        <v>0.64700000000000002</v>
      </c>
      <c r="AF23" s="27">
        <f t="shared" si="4"/>
        <v>6</v>
      </c>
      <c r="AG23" s="28" t="str">
        <f t="shared" si="5"/>
        <v>Crítico</v>
      </c>
    </row>
    <row r="24" spans="1:33" ht="18.649999999999999" customHeight="1" x14ac:dyDescent="0.35">
      <c r="A24" s="19">
        <v>20</v>
      </c>
      <c r="B24" s="19" t="s">
        <v>75</v>
      </c>
      <c r="C24" s="19" t="s">
        <v>284</v>
      </c>
      <c r="D24" s="19" t="s">
        <v>125</v>
      </c>
      <c r="E24" s="19" t="s">
        <v>57</v>
      </c>
      <c r="F24" s="20" t="s">
        <v>285</v>
      </c>
      <c r="G24" s="20" t="s">
        <v>127</v>
      </c>
      <c r="H24" s="29">
        <v>45826</v>
      </c>
      <c r="I24" s="20">
        <v>2</v>
      </c>
      <c r="J24" s="20" t="s">
        <v>296</v>
      </c>
      <c r="K24" s="20" t="s">
        <v>297</v>
      </c>
      <c r="L24" s="20" t="s">
        <v>298</v>
      </c>
      <c r="M24" s="6"/>
      <c r="N24" s="6"/>
      <c r="O24" s="6"/>
      <c r="P24" s="6"/>
      <c r="Q24" s="6"/>
      <c r="R24" s="20" t="s">
        <v>299</v>
      </c>
      <c r="S24" s="20" t="s">
        <v>300</v>
      </c>
      <c r="T24" s="20" t="s">
        <v>172</v>
      </c>
      <c r="U24" s="20" t="s">
        <v>258</v>
      </c>
      <c r="V24" s="20" t="s">
        <v>292</v>
      </c>
      <c r="W24" s="20" t="s">
        <v>293</v>
      </c>
      <c r="X24" s="20" t="s">
        <v>294</v>
      </c>
      <c r="Y24" s="20" t="s">
        <v>295</v>
      </c>
      <c r="Z24" s="6"/>
      <c r="AA24" s="30" t="str">
        <f t="shared" si="0"/>
        <v>PR-SS-PCU-T02</v>
      </c>
      <c r="AB24" s="30">
        <f t="shared" si="1"/>
        <v>2025</v>
      </c>
      <c r="AC24" s="31">
        <v>0</v>
      </c>
      <c r="AD24" s="30">
        <f t="shared" si="2"/>
        <v>7</v>
      </c>
      <c r="AE24" s="32">
        <f t="shared" si="3"/>
        <v>0.64700000000000002</v>
      </c>
      <c r="AF24" s="33">
        <f t="shared" si="4"/>
        <v>6</v>
      </c>
      <c r="AG24" s="34" t="str">
        <f t="shared" si="5"/>
        <v>Crítico</v>
      </c>
    </row>
    <row r="25" spans="1:33" ht="18.649999999999999" customHeight="1" x14ac:dyDescent="0.35">
      <c r="A25" s="16">
        <v>21</v>
      </c>
      <c r="B25" s="16" t="s">
        <v>81</v>
      </c>
      <c r="C25" s="16" t="s">
        <v>301</v>
      </c>
      <c r="D25" s="16" t="s">
        <v>125</v>
      </c>
      <c r="E25" s="16" t="s">
        <v>57</v>
      </c>
      <c r="F25" s="15" t="s">
        <v>302</v>
      </c>
      <c r="G25" s="15" t="s">
        <v>127</v>
      </c>
      <c r="H25" s="23">
        <v>45830</v>
      </c>
      <c r="I25" s="15">
        <v>2</v>
      </c>
      <c r="J25" s="15" t="s">
        <v>303</v>
      </c>
      <c r="K25" s="15" t="s">
        <v>304</v>
      </c>
      <c r="L25" s="15" t="s">
        <v>305</v>
      </c>
      <c r="M25" s="6"/>
      <c r="N25" s="6"/>
      <c r="O25" s="6"/>
      <c r="P25" s="6"/>
      <c r="Q25" s="6"/>
      <c r="R25" s="15" t="s">
        <v>306</v>
      </c>
      <c r="S25" s="15" t="s">
        <v>307</v>
      </c>
      <c r="T25" s="15" t="s">
        <v>308</v>
      </c>
      <c r="U25" s="15" t="s">
        <v>309</v>
      </c>
      <c r="V25" s="6"/>
      <c r="W25" s="15" t="s">
        <v>310</v>
      </c>
      <c r="X25" s="15" t="s">
        <v>311</v>
      </c>
      <c r="Y25" s="15" t="s">
        <v>137</v>
      </c>
      <c r="Z25" s="6"/>
      <c r="AA25" s="24" t="str">
        <f t="shared" si="0"/>
        <v>PR-SS-RCI-T02</v>
      </c>
      <c r="AB25" s="24">
        <f t="shared" si="1"/>
        <v>2025</v>
      </c>
      <c r="AC25" s="25">
        <v>255831</v>
      </c>
      <c r="AD25" s="24">
        <f t="shared" si="2"/>
        <v>8</v>
      </c>
      <c r="AE25" s="26">
        <f t="shared" si="3"/>
        <v>0.58799999999999997</v>
      </c>
      <c r="AF25" s="27">
        <f t="shared" si="4"/>
        <v>5</v>
      </c>
      <c r="AG25" s="28" t="str">
        <f t="shared" si="5"/>
        <v>Crítico</v>
      </c>
    </row>
    <row r="26" spans="1:33" ht="18.649999999999999" customHeight="1" x14ac:dyDescent="0.35">
      <c r="A26" s="19">
        <v>22</v>
      </c>
      <c r="B26" s="19" t="s">
        <v>81</v>
      </c>
      <c r="C26" s="19" t="s">
        <v>301</v>
      </c>
      <c r="D26" s="19" t="s">
        <v>125</v>
      </c>
      <c r="E26" s="19" t="s">
        <v>57</v>
      </c>
      <c r="F26" s="20" t="s">
        <v>302</v>
      </c>
      <c r="G26" s="20" t="s">
        <v>127</v>
      </c>
      <c r="H26" s="29">
        <v>45830</v>
      </c>
      <c r="I26" s="20">
        <v>2</v>
      </c>
      <c r="J26" s="20" t="s">
        <v>312</v>
      </c>
      <c r="K26" s="20" t="s">
        <v>313</v>
      </c>
      <c r="L26" s="20" t="s">
        <v>312</v>
      </c>
      <c r="M26" s="6"/>
      <c r="N26" s="6"/>
      <c r="O26" s="6"/>
      <c r="P26" s="6"/>
      <c r="Q26" s="6"/>
      <c r="R26" s="20" t="s">
        <v>314</v>
      </c>
      <c r="S26" s="20" t="s">
        <v>315</v>
      </c>
      <c r="T26" s="20" t="s">
        <v>316</v>
      </c>
      <c r="U26" s="20" t="s">
        <v>250</v>
      </c>
      <c r="V26" s="6"/>
      <c r="W26" s="20" t="s">
        <v>310</v>
      </c>
      <c r="X26" s="20" t="s">
        <v>311</v>
      </c>
      <c r="Y26" s="20" t="s">
        <v>137</v>
      </c>
      <c r="Z26" s="6"/>
      <c r="AA26" s="30" t="str">
        <f t="shared" si="0"/>
        <v>PR-SS-RCI-T02</v>
      </c>
      <c r="AB26" s="30">
        <f t="shared" si="1"/>
        <v>2025</v>
      </c>
      <c r="AC26" s="31">
        <v>20000</v>
      </c>
      <c r="AD26" s="30">
        <f t="shared" si="2"/>
        <v>4</v>
      </c>
      <c r="AE26" s="32">
        <f t="shared" si="3"/>
        <v>0.58799999999999997</v>
      </c>
      <c r="AF26" s="33">
        <f t="shared" si="4"/>
        <v>5</v>
      </c>
      <c r="AG26" s="34" t="str">
        <f t="shared" si="5"/>
        <v>Crítico</v>
      </c>
    </row>
    <row r="27" spans="1:33" ht="18.649999999999999" customHeight="1" x14ac:dyDescent="0.35">
      <c r="A27" s="16">
        <v>23</v>
      </c>
      <c r="B27" s="16" t="s">
        <v>77</v>
      </c>
      <c r="C27" s="16" t="s">
        <v>317</v>
      </c>
      <c r="D27" s="16" t="s">
        <v>125</v>
      </c>
      <c r="E27" s="16" t="s">
        <v>57</v>
      </c>
      <c r="F27" s="15" t="s">
        <v>318</v>
      </c>
      <c r="G27" s="15" t="s">
        <v>127</v>
      </c>
      <c r="H27" s="23">
        <v>45831</v>
      </c>
      <c r="I27" s="15">
        <v>1</v>
      </c>
      <c r="J27" s="15" t="s">
        <v>319</v>
      </c>
      <c r="K27" s="15" t="s">
        <v>320</v>
      </c>
      <c r="L27" s="15" t="s">
        <v>321</v>
      </c>
      <c r="M27" s="6"/>
      <c r="N27" s="6"/>
      <c r="O27" s="6"/>
      <c r="P27" s="6"/>
      <c r="Q27" s="6"/>
      <c r="R27" s="15" t="s">
        <v>322</v>
      </c>
      <c r="S27" s="15" t="s">
        <v>323</v>
      </c>
      <c r="T27" s="6"/>
      <c r="U27" s="15" t="s">
        <v>324</v>
      </c>
      <c r="V27" s="15" t="s">
        <v>325</v>
      </c>
      <c r="W27" s="15" t="s">
        <v>326</v>
      </c>
      <c r="X27" s="15" t="s">
        <v>327</v>
      </c>
      <c r="Y27" s="15" t="s">
        <v>328</v>
      </c>
      <c r="Z27" s="6"/>
      <c r="AA27" s="24" t="str">
        <f t="shared" si="0"/>
        <v>PR-SS-PDP-T01</v>
      </c>
      <c r="AB27" s="24">
        <f t="shared" si="1"/>
        <v>2025</v>
      </c>
      <c r="AC27" s="25">
        <v>0</v>
      </c>
      <c r="AD27" s="24">
        <f t="shared" si="2"/>
        <v>6</v>
      </c>
      <c r="AE27" s="26">
        <f t="shared" si="3"/>
        <v>0.58799999999999997</v>
      </c>
      <c r="AF27" s="27">
        <f t="shared" si="4"/>
        <v>6</v>
      </c>
      <c r="AG27" s="28" t="str">
        <f t="shared" si="5"/>
        <v>Crítico</v>
      </c>
    </row>
    <row r="28" spans="1:33" ht="18.649999999999999" customHeight="1" x14ac:dyDescent="0.35">
      <c r="A28" s="19">
        <v>24</v>
      </c>
      <c r="B28" s="19" t="s">
        <v>77</v>
      </c>
      <c r="C28" s="19" t="s">
        <v>317</v>
      </c>
      <c r="D28" s="19" t="s">
        <v>125</v>
      </c>
      <c r="E28" s="19" t="s">
        <v>57</v>
      </c>
      <c r="F28" s="20" t="s">
        <v>329</v>
      </c>
      <c r="G28" s="20" t="s">
        <v>127</v>
      </c>
      <c r="H28" s="29">
        <v>45831</v>
      </c>
      <c r="I28" s="20">
        <v>1</v>
      </c>
      <c r="J28" s="20" t="s">
        <v>330</v>
      </c>
      <c r="K28" s="20" t="s">
        <v>331</v>
      </c>
      <c r="L28" s="20" t="s">
        <v>332</v>
      </c>
      <c r="M28" s="6"/>
      <c r="N28" s="6"/>
      <c r="O28" s="6"/>
      <c r="P28" s="6"/>
      <c r="Q28" s="6"/>
      <c r="R28" s="20" t="s">
        <v>333</v>
      </c>
      <c r="S28" s="20" t="s">
        <v>334</v>
      </c>
      <c r="T28" s="6"/>
      <c r="U28" s="20" t="s">
        <v>143</v>
      </c>
      <c r="V28" s="20" t="s">
        <v>335</v>
      </c>
      <c r="W28" s="20" t="s">
        <v>336</v>
      </c>
      <c r="X28" s="20" t="s">
        <v>327</v>
      </c>
      <c r="Y28" s="20" t="s">
        <v>328</v>
      </c>
      <c r="Z28" s="6"/>
      <c r="AA28" s="30" t="str">
        <f t="shared" si="0"/>
        <v>PR-SS-PDP-T01</v>
      </c>
      <c r="AB28" s="30">
        <f t="shared" si="1"/>
        <v>2025</v>
      </c>
      <c r="AC28" s="31">
        <v>0</v>
      </c>
      <c r="AD28" s="30">
        <f t="shared" si="2"/>
        <v>11</v>
      </c>
      <c r="AE28" s="32">
        <f t="shared" si="3"/>
        <v>0.58799999999999997</v>
      </c>
      <c r="AF28" s="33">
        <f t="shared" si="4"/>
        <v>6</v>
      </c>
      <c r="AG28" s="34" t="str">
        <f t="shared" si="5"/>
        <v>Crítico</v>
      </c>
    </row>
    <row r="29" spans="1:33" ht="18.649999999999999" customHeight="1" x14ac:dyDescent="0.35">
      <c r="A29" s="16">
        <v>25</v>
      </c>
      <c r="B29" s="16" t="s">
        <v>77</v>
      </c>
      <c r="C29" s="16" t="s">
        <v>317</v>
      </c>
      <c r="D29" s="16" t="s">
        <v>125</v>
      </c>
      <c r="E29" s="16" t="s">
        <v>57</v>
      </c>
      <c r="F29" s="15" t="s">
        <v>329</v>
      </c>
      <c r="G29" s="15" t="s">
        <v>127</v>
      </c>
      <c r="H29" s="23">
        <v>45831</v>
      </c>
      <c r="I29" s="15">
        <v>2</v>
      </c>
      <c r="J29" s="15" t="s">
        <v>337</v>
      </c>
      <c r="K29" s="15" t="s">
        <v>338</v>
      </c>
      <c r="L29" s="15" t="s">
        <v>339</v>
      </c>
      <c r="M29" s="6"/>
      <c r="N29" s="6"/>
      <c r="O29" s="6"/>
      <c r="P29" s="6"/>
      <c r="Q29" s="6"/>
      <c r="R29" s="15" t="s">
        <v>340</v>
      </c>
      <c r="S29" s="15" t="s">
        <v>341</v>
      </c>
      <c r="T29" s="6"/>
      <c r="U29" s="15" t="s">
        <v>324</v>
      </c>
      <c r="V29" s="15" t="s">
        <v>335</v>
      </c>
      <c r="W29" s="15" t="s">
        <v>336</v>
      </c>
      <c r="X29" s="15" t="s">
        <v>327</v>
      </c>
      <c r="Y29" s="15" t="s">
        <v>328</v>
      </c>
      <c r="Z29" s="6"/>
      <c r="AA29" s="24" t="str">
        <f t="shared" si="0"/>
        <v>PR-SS-PDP-T02</v>
      </c>
      <c r="AB29" s="24">
        <f t="shared" si="1"/>
        <v>2025</v>
      </c>
      <c r="AC29" s="25">
        <v>0</v>
      </c>
      <c r="AD29" s="24">
        <f t="shared" si="2"/>
        <v>6</v>
      </c>
      <c r="AE29" s="26">
        <f t="shared" si="3"/>
        <v>0.58799999999999997</v>
      </c>
      <c r="AF29" s="27">
        <f t="shared" si="4"/>
        <v>6</v>
      </c>
      <c r="AG29" s="28" t="str">
        <f t="shared" si="5"/>
        <v>Crítico</v>
      </c>
    </row>
    <row r="30" spans="1:33" ht="18.649999999999999" customHeight="1" x14ac:dyDescent="0.35">
      <c r="A30" s="19">
        <v>26</v>
      </c>
      <c r="B30" s="19" t="s">
        <v>83</v>
      </c>
      <c r="C30" s="19" t="s">
        <v>342</v>
      </c>
      <c r="D30" s="19" t="s">
        <v>125</v>
      </c>
      <c r="E30" s="19" t="s">
        <v>57</v>
      </c>
      <c r="F30" s="20" t="s">
        <v>343</v>
      </c>
      <c r="G30" s="20" t="s">
        <v>127</v>
      </c>
      <c r="H30" s="29">
        <v>45831</v>
      </c>
      <c r="I30" s="20">
        <v>1</v>
      </c>
      <c r="J30" s="20" t="s">
        <v>344</v>
      </c>
      <c r="K30" s="20" t="s">
        <v>345</v>
      </c>
      <c r="L30" s="20" t="s">
        <v>346</v>
      </c>
      <c r="M30" s="6"/>
      <c r="N30" s="6"/>
      <c r="O30" s="6"/>
      <c r="P30" s="6"/>
      <c r="Q30" s="6"/>
      <c r="R30" s="20" t="s">
        <v>347</v>
      </c>
      <c r="S30" s="20" t="s">
        <v>348</v>
      </c>
      <c r="T30" s="20" t="s">
        <v>349</v>
      </c>
      <c r="U30" s="20" t="s">
        <v>350</v>
      </c>
      <c r="V30" s="6"/>
      <c r="W30" s="6"/>
      <c r="X30" s="20" t="s">
        <v>351</v>
      </c>
      <c r="Y30" s="20" t="s">
        <v>352</v>
      </c>
      <c r="Z30" s="6"/>
      <c r="AA30" s="30" t="str">
        <f t="shared" si="0"/>
        <v>PR-SS-RPI-T01</v>
      </c>
      <c r="AB30" s="30">
        <f t="shared" si="1"/>
        <v>2025</v>
      </c>
      <c r="AC30" s="31">
        <v>3896</v>
      </c>
      <c r="AD30" s="30">
        <f t="shared" si="2"/>
        <v>2</v>
      </c>
      <c r="AE30" s="32">
        <f t="shared" si="3"/>
        <v>0.52900000000000003</v>
      </c>
      <c r="AF30" s="33">
        <f t="shared" si="4"/>
        <v>5</v>
      </c>
      <c r="AG30" s="34" t="str">
        <f t="shared" si="5"/>
        <v>Crítico</v>
      </c>
    </row>
    <row r="31" spans="1:33" ht="18.649999999999999" customHeight="1" x14ac:dyDescent="0.35">
      <c r="A31" s="16">
        <v>27</v>
      </c>
      <c r="B31" s="16" t="s">
        <v>83</v>
      </c>
      <c r="C31" s="16" t="s">
        <v>342</v>
      </c>
      <c r="D31" s="16" t="s">
        <v>125</v>
      </c>
      <c r="E31" s="16" t="s">
        <v>57</v>
      </c>
      <c r="F31" s="15" t="s">
        <v>343</v>
      </c>
      <c r="G31" s="15" t="s">
        <v>127</v>
      </c>
      <c r="H31" s="23">
        <v>45831</v>
      </c>
      <c r="I31" s="15">
        <v>2</v>
      </c>
      <c r="J31" s="15" t="s">
        <v>353</v>
      </c>
      <c r="K31" s="15" t="s">
        <v>354</v>
      </c>
      <c r="L31" s="15" t="s">
        <v>355</v>
      </c>
      <c r="M31" s="6"/>
      <c r="N31" s="6"/>
      <c r="O31" s="6"/>
      <c r="P31" s="6"/>
      <c r="Q31" s="6"/>
      <c r="R31" s="15" t="s">
        <v>356</v>
      </c>
      <c r="S31" s="15" t="s">
        <v>357</v>
      </c>
      <c r="T31" s="15" t="s">
        <v>152</v>
      </c>
      <c r="U31" s="15" t="s">
        <v>358</v>
      </c>
      <c r="V31" s="6"/>
      <c r="W31" s="6"/>
      <c r="X31" s="15" t="s">
        <v>351</v>
      </c>
      <c r="Y31" s="15" t="s">
        <v>352</v>
      </c>
      <c r="Z31" s="6"/>
      <c r="AA31" s="24" t="str">
        <f t="shared" si="0"/>
        <v>PR-SS-RPI-T02</v>
      </c>
      <c r="AB31" s="24">
        <f t="shared" si="1"/>
        <v>2025</v>
      </c>
      <c r="AC31" s="25">
        <v>0</v>
      </c>
      <c r="AD31" s="24">
        <f t="shared" si="2"/>
        <v>5</v>
      </c>
      <c r="AE31" s="26">
        <f t="shared" si="3"/>
        <v>0.52900000000000003</v>
      </c>
      <c r="AF31" s="27">
        <f t="shared" si="4"/>
        <v>5</v>
      </c>
      <c r="AG31" s="28" t="str">
        <f t="shared" si="5"/>
        <v>Crítico</v>
      </c>
    </row>
    <row r="32" spans="1:33" ht="18.649999999999999" customHeight="1" x14ac:dyDescent="0.35">
      <c r="A32" s="19">
        <v>28</v>
      </c>
      <c r="B32" s="19" t="s">
        <v>83</v>
      </c>
      <c r="C32" s="19" t="s">
        <v>342</v>
      </c>
      <c r="D32" s="19" t="s">
        <v>125</v>
      </c>
      <c r="E32" s="19" t="s">
        <v>57</v>
      </c>
      <c r="F32" s="20" t="s">
        <v>343</v>
      </c>
      <c r="G32" s="20" t="s">
        <v>127</v>
      </c>
      <c r="H32" s="29">
        <v>45831</v>
      </c>
      <c r="I32" s="20">
        <v>3</v>
      </c>
      <c r="J32" s="20" t="s">
        <v>359</v>
      </c>
      <c r="K32" s="20" t="s">
        <v>360</v>
      </c>
      <c r="L32" s="20" t="s">
        <v>361</v>
      </c>
      <c r="M32" s="6"/>
      <c r="N32" s="6"/>
      <c r="O32" s="6"/>
      <c r="P32" s="6"/>
      <c r="Q32" s="6"/>
      <c r="R32" s="20" t="s">
        <v>362</v>
      </c>
      <c r="S32" s="20" t="s">
        <v>363</v>
      </c>
      <c r="T32" s="20" t="s">
        <v>364</v>
      </c>
      <c r="U32" s="20" t="s">
        <v>365</v>
      </c>
      <c r="V32" s="6"/>
      <c r="W32" s="6"/>
      <c r="X32" s="20" t="s">
        <v>351</v>
      </c>
      <c r="Y32" s="20" t="s">
        <v>352</v>
      </c>
      <c r="Z32" s="6"/>
      <c r="AA32" s="30" t="str">
        <f t="shared" si="0"/>
        <v>PR-SS-RPI-T03</v>
      </c>
      <c r="AB32" s="30">
        <f t="shared" si="1"/>
        <v>2025</v>
      </c>
      <c r="AC32" s="31">
        <v>2727</v>
      </c>
      <c r="AD32" s="30">
        <f t="shared" si="2"/>
        <v>3</v>
      </c>
      <c r="AE32" s="32">
        <f t="shared" si="3"/>
        <v>0.52900000000000003</v>
      </c>
      <c r="AF32" s="33">
        <f t="shared" si="4"/>
        <v>5</v>
      </c>
      <c r="AG32" s="34" t="str">
        <f t="shared" si="5"/>
        <v>Crítico</v>
      </c>
    </row>
    <row r="33" spans="1:33" ht="18.649999999999999" customHeight="1" x14ac:dyDescent="0.35">
      <c r="A33" s="16">
        <v>29</v>
      </c>
      <c r="B33" s="16" t="s">
        <v>83</v>
      </c>
      <c r="C33" s="16" t="s">
        <v>342</v>
      </c>
      <c r="D33" s="16" t="s">
        <v>125</v>
      </c>
      <c r="E33" s="16" t="s">
        <v>57</v>
      </c>
      <c r="F33" s="15" t="s">
        <v>343</v>
      </c>
      <c r="G33" s="15" t="s">
        <v>127</v>
      </c>
      <c r="H33" s="23">
        <v>45831</v>
      </c>
      <c r="I33" s="15">
        <v>4</v>
      </c>
      <c r="J33" s="15" t="s">
        <v>366</v>
      </c>
      <c r="K33" s="15" t="s">
        <v>367</v>
      </c>
      <c r="L33" s="15" t="s">
        <v>368</v>
      </c>
      <c r="M33" s="6"/>
      <c r="N33" s="6"/>
      <c r="O33" s="6"/>
      <c r="P33" s="6"/>
      <c r="Q33" s="6"/>
      <c r="R33" s="15" t="s">
        <v>369</v>
      </c>
      <c r="S33" s="15" t="s">
        <v>370</v>
      </c>
      <c r="T33" s="15" t="s">
        <v>371</v>
      </c>
      <c r="U33" s="15" t="s">
        <v>324</v>
      </c>
      <c r="V33" s="6"/>
      <c r="W33" s="6"/>
      <c r="X33" s="15" t="s">
        <v>351</v>
      </c>
      <c r="Y33" s="15" t="s">
        <v>352</v>
      </c>
      <c r="Z33" s="6"/>
      <c r="AA33" s="24" t="str">
        <f t="shared" si="0"/>
        <v>PR-SS-RPI-T04</v>
      </c>
      <c r="AB33" s="24">
        <f t="shared" si="1"/>
        <v>2025</v>
      </c>
      <c r="AC33" s="25">
        <v>6753</v>
      </c>
      <c r="AD33" s="24">
        <f t="shared" si="2"/>
        <v>6</v>
      </c>
      <c r="AE33" s="26">
        <f t="shared" si="3"/>
        <v>0.52900000000000003</v>
      </c>
      <c r="AF33" s="27">
        <f t="shared" si="4"/>
        <v>5</v>
      </c>
      <c r="AG33" s="28" t="str">
        <f t="shared" si="5"/>
        <v>Crítico</v>
      </c>
    </row>
    <row r="34" spans="1:33" ht="18.649999999999999" customHeight="1" x14ac:dyDescent="0.35">
      <c r="A34" s="19">
        <v>30</v>
      </c>
      <c r="B34" s="19" t="s">
        <v>83</v>
      </c>
      <c r="C34" s="19" t="s">
        <v>342</v>
      </c>
      <c r="D34" s="19" t="s">
        <v>125</v>
      </c>
      <c r="E34" s="19" t="s">
        <v>57</v>
      </c>
      <c r="F34" s="20" t="s">
        <v>343</v>
      </c>
      <c r="G34" s="20" t="s">
        <v>127</v>
      </c>
      <c r="H34" s="29">
        <v>45831</v>
      </c>
      <c r="I34" s="20">
        <v>5</v>
      </c>
      <c r="J34" s="20" t="s">
        <v>372</v>
      </c>
      <c r="K34" s="20" t="s">
        <v>373</v>
      </c>
      <c r="L34" s="20" t="s">
        <v>374</v>
      </c>
      <c r="M34" s="6"/>
      <c r="N34" s="6"/>
      <c r="O34" s="6"/>
      <c r="P34" s="6"/>
      <c r="Q34" s="6"/>
      <c r="R34" s="20" t="s">
        <v>375</v>
      </c>
      <c r="S34" s="20" t="s">
        <v>376</v>
      </c>
      <c r="T34" s="20" t="s">
        <v>377</v>
      </c>
      <c r="U34" s="20" t="s">
        <v>378</v>
      </c>
      <c r="V34" s="6"/>
      <c r="W34" s="6"/>
      <c r="X34" s="20" t="s">
        <v>351</v>
      </c>
      <c r="Y34" s="20" t="s">
        <v>352</v>
      </c>
      <c r="Z34" s="6"/>
      <c r="AA34" s="30" t="str">
        <f t="shared" si="0"/>
        <v>PR-SS-RPI-T05</v>
      </c>
      <c r="AB34" s="30">
        <f t="shared" si="1"/>
        <v>2025</v>
      </c>
      <c r="AC34" s="31">
        <v>15909</v>
      </c>
      <c r="AD34" s="30">
        <f t="shared" si="2"/>
        <v>10</v>
      </c>
      <c r="AE34" s="32">
        <f t="shared" si="3"/>
        <v>0.52900000000000003</v>
      </c>
      <c r="AF34" s="33">
        <f t="shared" si="4"/>
        <v>5</v>
      </c>
      <c r="AG34" s="34" t="str">
        <f t="shared" si="5"/>
        <v>Crítico</v>
      </c>
    </row>
    <row r="35" spans="1:33" ht="18.649999999999999" customHeight="1" x14ac:dyDescent="0.35">
      <c r="A35" s="16">
        <v>31</v>
      </c>
      <c r="B35" s="16" t="s">
        <v>83</v>
      </c>
      <c r="C35" s="16" t="s">
        <v>342</v>
      </c>
      <c r="D35" s="16" t="s">
        <v>125</v>
      </c>
      <c r="E35" s="16" t="s">
        <v>57</v>
      </c>
      <c r="F35" s="15" t="s">
        <v>343</v>
      </c>
      <c r="G35" s="15" t="s">
        <v>127</v>
      </c>
      <c r="H35" s="23">
        <v>45831</v>
      </c>
      <c r="I35" s="15">
        <v>6</v>
      </c>
      <c r="J35" s="15" t="s">
        <v>379</v>
      </c>
      <c r="K35" s="15" t="s">
        <v>380</v>
      </c>
      <c r="L35" s="15" t="s">
        <v>381</v>
      </c>
      <c r="M35" s="6"/>
      <c r="N35" s="6"/>
      <c r="O35" s="6"/>
      <c r="P35" s="6"/>
      <c r="Q35" s="6"/>
      <c r="R35" s="15" t="s">
        <v>382</v>
      </c>
      <c r="S35" s="15" t="s">
        <v>383</v>
      </c>
      <c r="T35" s="15" t="s">
        <v>384</v>
      </c>
      <c r="U35" s="15" t="s">
        <v>173</v>
      </c>
      <c r="V35" s="6"/>
      <c r="W35" s="6"/>
      <c r="X35" s="15" t="s">
        <v>351</v>
      </c>
      <c r="Y35" s="15" t="s">
        <v>352</v>
      </c>
      <c r="Z35" s="6"/>
      <c r="AA35" s="24" t="str">
        <f t="shared" si="0"/>
        <v>PR-SS-RPI-T06</v>
      </c>
      <c r="AB35" s="24">
        <f t="shared" si="1"/>
        <v>2025</v>
      </c>
      <c r="AC35" s="25">
        <v>5065</v>
      </c>
      <c r="AD35" s="24">
        <f t="shared" si="2"/>
        <v>12</v>
      </c>
      <c r="AE35" s="26">
        <f t="shared" si="3"/>
        <v>0.52900000000000003</v>
      </c>
      <c r="AF35" s="27">
        <f t="shared" si="4"/>
        <v>5</v>
      </c>
      <c r="AG35" s="28" t="str">
        <f t="shared" si="5"/>
        <v>Crítico</v>
      </c>
    </row>
  </sheetData>
  <mergeCells count="2">
    <mergeCell ref="A2:L2"/>
    <mergeCell ref="A1:L1"/>
  </mergeCells>
  <conditionalFormatting sqref="AE5:AE35">
    <cfRule type="colorScale" priority="1">
      <colorScale>
        <cfvo type="num" val="0"/>
        <cfvo type="num" val="0.75"/>
        <cfvo type="num" val="1"/>
        <color rgb="FFF8696B"/>
        <color rgb="FFFFEB84"/>
        <color rgb="FF63BE7B"/>
      </colorScale>
    </cfRule>
  </conditionalFormatting>
  <conditionalFormatting sqref="AG5:AG35">
    <cfRule type="expression" dxfId="1" priority="2">
      <formula>EXACT(AG5,"Crítico")</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30"/>
  <sheetViews>
    <sheetView workbookViewId="0">
      <selection activeCell="A2" sqref="A2:J2"/>
    </sheetView>
  </sheetViews>
  <sheetFormatPr baseColWidth="10" defaultColWidth="8.7265625" defaultRowHeight="14.5" x14ac:dyDescent="0.35"/>
  <cols>
    <col min="1" max="1" width="30" customWidth="1"/>
    <col min="2" max="2" width="14" customWidth="1"/>
    <col min="3" max="3" width="28" customWidth="1"/>
    <col min="4" max="4" width="34" customWidth="1"/>
    <col min="5" max="5" width="26" customWidth="1"/>
    <col min="6" max="6" width="8" customWidth="1"/>
    <col min="7" max="7" width="58" customWidth="1"/>
    <col min="8" max="8" width="18" customWidth="1"/>
    <col min="9" max="9" width="16" customWidth="1"/>
    <col min="10" max="10" width="12" customWidth="1"/>
  </cols>
  <sheetData>
    <row r="1" spans="1:10" ht="16" customHeight="1" x14ac:dyDescent="0.35">
      <c r="A1" s="40" t="s">
        <v>385</v>
      </c>
      <c r="B1" s="41"/>
      <c r="C1" s="41"/>
      <c r="D1" s="41"/>
      <c r="E1" s="41"/>
      <c r="F1" s="41"/>
      <c r="G1" s="41"/>
      <c r="H1" s="41"/>
      <c r="I1" s="41"/>
      <c r="J1" s="41"/>
    </row>
    <row r="2" spans="1:10" ht="18.649999999999999" customHeight="1" x14ac:dyDescent="0.35">
      <c r="A2" s="45" t="s">
        <v>386</v>
      </c>
      <c r="B2" s="41"/>
      <c r="C2" s="41"/>
      <c r="D2" s="41"/>
      <c r="E2" s="41"/>
      <c r="F2" s="41"/>
      <c r="G2" s="41"/>
      <c r="H2" s="41"/>
      <c r="I2" s="41"/>
      <c r="J2" s="41"/>
    </row>
    <row r="4" spans="1:10" ht="21.4" customHeight="1" x14ac:dyDescent="0.35">
      <c r="A4" s="14" t="s">
        <v>387</v>
      </c>
      <c r="B4" s="14" t="s">
        <v>92</v>
      </c>
      <c r="C4" s="14" t="s">
        <v>93</v>
      </c>
      <c r="D4" s="14" t="s">
        <v>388</v>
      </c>
      <c r="E4" s="14" t="s">
        <v>389</v>
      </c>
      <c r="F4" s="14" t="s">
        <v>390</v>
      </c>
      <c r="G4" s="14" t="s">
        <v>391</v>
      </c>
      <c r="H4" s="14" t="s">
        <v>392</v>
      </c>
      <c r="I4" s="14" t="s">
        <v>106</v>
      </c>
      <c r="J4" s="14" t="s">
        <v>393</v>
      </c>
    </row>
    <row r="5" spans="1:10" ht="18.649999999999999" customHeight="1" x14ac:dyDescent="0.35">
      <c r="A5" s="16" t="s">
        <v>394</v>
      </c>
      <c r="B5" s="16" t="s">
        <v>66</v>
      </c>
      <c r="C5" s="15" t="s">
        <v>67</v>
      </c>
      <c r="D5" s="15" t="s">
        <v>126</v>
      </c>
      <c r="E5" s="15" t="s">
        <v>395</v>
      </c>
      <c r="F5" s="16">
        <v>1</v>
      </c>
      <c r="G5" s="15" t="s">
        <v>396</v>
      </c>
      <c r="H5" s="16" t="s">
        <v>397</v>
      </c>
      <c r="I5" s="35"/>
      <c r="J5" s="16" t="s">
        <v>33</v>
      </c>
    </row>
    <row r="6" spans="1:10" ht="18.649999999999999" customHeight="1" x14ac:dyDescent="0.35">
      <c r="A6" s="19" t="s">
        <v>398</v>
      </c>
      <c r="B6" s="19" t="s">
        <v>66</v>
      </c>
      <c r="C6" s="20" t="s">
        <v>67</v>
      </c>
      <c r="D6" s="20" t="s">
        <v>126</v>
      </c>
      <c r="E6" s="20" t="s">
        <v>395</v>
      </c>
      <c r="F6" s="19">
        <v>2</v>
      </c>
      <c r="G6" s="20" t="s">
        <v>399</v>
      </c>
      <c r="H6" s="19" t="s">
        <v>400</v>
      </c>
      <c r="I6" s="35"/>
      <c r="J6" s="19" t="s">
        <v>33</v>
      </c>
    </row>
    <row r="7" spans="1:10" ht="18.649999999999999" customHeight="1" x14ac:dyDescent="0.35">
      <c r="A7" s="16" t="s">
        <v>401</v>
      </c>
      <c r="B7" s="16" t="s">
        <v>66</v>
      </c>
      <c r="C7" s="15" t="s">
        <v>67</v>
      </c>
      <c r="D7" s="15" t="s">
        <v>126</v>
      </c>
      <c r="E7" s="15" t="s">
        <v>395</v>
      </c>
      <c r="F7" s="16">
        <v>3</v>
      </c>
      <c r="G7" s="15" t="s">
        <v>402</v>
      </c>
      <c r="H7" s="16" t="s">
        <v>397</v>
      </c>
      <c r="I7" s="35"/>
      <c r="J7" s="16" t="s">
        <v>33</v>
      </c>
    </row>
    <row r="8" spans="1:10" ht="18.649999999999999" customHeight="1" x14ac:dyDescent="0.35">
      <c r="A8" s="19" t="s">
        <v>403</v>
      </c>
      <c r="B8" s="19" t="s">
        <v>66</v>
      </c>
      <c r="C8" s="20" t="s">
        <v>67</v>
      </c>
      <c r="D8" s="20" t="s">
        <v>126</v>
      </c>
      <c r="E8" s="20" t="s">
        <v>395</v>
      </c>
      <c r="F8" s="19">
        <v>4</v>
      </c>
      <c r="G8" s="20" t="s">
        <v>404</v>
      </c>
      <c r="H8" s="19" t="s">
        <v>397</v>
      </c>
      <c r="I8" s="35"/>
      <c r="J8" s="19" t="s">
        <v>33</v>
      </c>
    </row>
    <row r="9" spans="1:10" ht="18.649999999999999" customHeight="1" x14ac:dyDescent="0.35">
      <c r="A9" s="16" t="s">
        <v>405</v>
      </c>
      <c r="B9" s="16" t="s">
        <v>66</v>
      </c>
      <c r="C9" s="15" t="s">
        <v>67</v>
      </c>
      <c r="D9" s="15" t="s">
        <v>126</v>
      </c>
      <c r="E9" s="15" t="s">
        <v>395</v>
      </c>
      <c r="F9" s="16">
        <v>5</v>
      </c>
      <c r="G9" s="15" t="s">
        <v>406</v>
      </c>
      <c r="H9" s="16" t="s">
        <v>400</v>
      </c>
      <c r="I9" s="35"/>
      <c r="J9" s="16" t="s">
        <v>33</v>
      </c>
    </row>
    <row r="10" spans="1:10" ht="18.649999999999999" customHeight="1" x14ac:dyDescent="0.35">
      <c r="A10" s="19" t="s">
        <v>407</v>
      </c>
      <c r="B10" s="19" t="s">
        <v>66</v>
      </c>
      <c r="C10" s="20" t="s">
        <v>67</v>
      </c>
      <c r="D10" s="20" t="s">
        <v>126</v>
      </c>
      <c r="E10" s="20" t="s">
        <v>395</v>
      </c>
      <c r="F10" s="19">
        <v>6</v>
      </c>
      <c r="G10" s="20" t="s">
        <v>408</v>
      </c>
      <c r="H10" s="19" t="s">
        <v>409</v>
      </c>
      <c r="I10" s="35"/>
      <c r="J10" s="19" t="s">
        <v>33</v>
      </c>
    </row>
    <row r="11" spans="1:10" ht="18.649999999999999" customHeight="1" x14ac:dyDescent="0.35">
      <c r="A11" s="16" t="s">
        <v>410</v>
      </c>
      <c r="B11" s="16" t="s">
        <v>66</v>
      </c>
      <c r="C11" s="15" t="s">
        <v>67</v>
      </c>
      <c r="D11" s="15" t="s">
        <v>126</v>
      </c>
      <c r="E11" s="15" t="s">
        <v>395</v>
      </c>
      <c r="F11" s="16">
        <v>7</v>
      </c>
      <c r="G11" s="15" t="s">
        <v>411</v>
      </c>
      <c r="H11" s="16" t="s">
        <v>397</v>
      </c>
      <c r="I11" s="35"/>
      <c r="J11" s="16" t="s">
        <v>33</v>
      </c>
    </row>
    <row r="12" spans="1:10" ht="18.649999999999999" customHeight="1" x14ac:dyDescent="0.35">
      <c r="A12" s="19" t="s">
        <v>412</v>
      </c>
      <c r="B12" s="19" t="s">
        <v>66</v>
      </c>
      <c r="C12" s="20" t="s">
        <v>67</v>
      </c>
      <c r="D12" s="20" t="s">
        <v>126</v>
      </c>
      <c r="E12" s="20" t="s">
        <v>395</v>
      </c>
      <c r="F12" s="19">
        <v>8</v>
      </c>
      <c r="G12" s="20" t="s">
        <v>413</v>
      </c>
      <c r="H12" s="19" t="s">
        <v>414</v>
      </c>
      <c r="I12" s="35"/>
      <c r="J12" s="19" t="s">
        <v>33</v>
      </c>
    </row>
    <row r="13" spans="1:10" ht="18.649999999999999" customHeight="1" x14ac:dyDescent="0.35">
      <c r="A13" s="16" t="s">
        <v>415</v>
      </c>
      <c r="B13" s="16" t="s">
        <v>66</v>
      </c>
      <c r="C13" s="15" t="s">
        <v>67</v>
      </c>
      <c r="D13" s="15" t="s">
        <v>126</v>
      </c>
      <c r="E13" s="15" t="s">
        <v>416</v>
      </c>
      <c r="F13" s="16">
        <v>1</v>
      </c>
      <c r="G13" s="15" t="s">
        <v>417</v>
      </c>
      <c r="H13" s="16" t="s">
        <v>397</v>
      </c>
      <c r="I13" s="35"/>
      <c r="J13" s="16" t="s">
        <v>33</v>
      </c>
    </row>
    <row r="14" spans="1:10" ht="18.649999999999999" customHeight="1" x14ac:dyDescent="0.35">
      <c r="A14" s="19" t="s">
        <v>418</v>
      </c>
      <c r="B14" s="19" t="s">
        <v>66</v>
      </c>
      <c r="C14" s="20" t="s">
        <v>67</v>
      </c>
      <c r="D14" s="20" t="s">
        <v>126</v>
      </c>
      <c r="E14" s="20" t="s">
        <v>416</v>
      </c>
      <c r="F14" s="19">
        <v>2</v>
      </c>
      <c r="G14" s="20" t="s">
        <v>419</v>
      </c>
      <c r="H14" s="19" t="s">
        <v>397</v>
      </c>
      <c r="I14" s="35"/>
      <c r="J14" s="19" t="s">
        <v>33</v>
      </c>
    </row>
    <row r="15" spans="1:10" ht="18.649999999999999" customHeight="1" x14ac:dyDescent="0.35">
      <c r="A15" s="16" t="s">
        <v>420</v>
      </c>
      <c r="B15" s="16" t="s">
        <v>63</v>
      </c>
      <c r="C15" s="15" t="s">
        <v>64</v>
      </c>
      <c r="D15" s="15" t="s">
        <v>146</v>
      </c>
      <c r="E15" s="15" t="s">
        <v>416</v>
      </c>
      <c r="F15" s="16">
        <v>1</v>
      </c>
      <c r="G15" s="15" t="s">
        <v>421</v>
      </c>
      <c r="H15" s="16" t="s">
        <v>400</v>
      </c>
      <c r="I15" s="35"/>
      <c r="J15" s="16" t="s">
        <v>33</v>
      </c>
    </row>
    <row r="16" spans="1:10" ht="18.649999999999999" customHeight="1" x14ac:dyDescent="0.35">
      <c r="A16" s="19" t="s">
        <v>422</v>
      </c>
      <c r="B16" s="19" t="s">
        <v>63</v>
      </c>
      <c r="C16" s="20" t="s">
        <v>64</v>
      </c>
      <c r="D16" s="20" t="s">
        <v>146</v>
      </c>
      <c r="E16" s="20" t="s">
        <v>416</v>
      </c>
      <c r="F16" s="19">
        <v>2</v>
      </c>
      <c r="G16" s="20" t="s">
        <v>423</v>
      </c>
      <c r="H16" s="19" t="s">
        <v>400</v>
      </c>
      <c r="I16" s="35"/>
      <c r="J16" s="19" t="s">
        <v>33</v>
      </c>
    </row>
    <row r="17" spans="1:10" ht="18.649999999999999" customHeight="1" x14ac:dyDescent="0.35">
      <c r="A17" s="16" t="s">
        <v>424</v>
      </c>
      <c r="B17" s="16" t="s">
        <v>63</v>
      </c>
      <c r="C17" s="15" t="s">
        <v>64</v>
      </c>
      <c r="D17" s="15" t="s">
        <v>146</v>
      </c>
      <c r="E17" s="15" t="s">
        <v>395</v>
      </c>
      <c r="F17" s="16">
        <v>1</v>
      </c>
      <c r="G17" s="15" t="s">
        <v>425</v>
      </c>
      <c r="H17" s="16" t="s">
        <v>400</v>
      </c>
      <c r="I17" s="35"/>
      <c r="J17" s="16" t="s">
        <v>33</v>
      </c>
    </row>
    <row r="18" spans="1:10" ht="18.649999999999999" customHeight="1" x14ac:dyDescent="0.35">
      <c r="A18" s="19" t="s">
        <v>426</v>
      </c>
      <c r="B18" s="19" t="s">
        <v>63</v>
      </c>
      <c r="C18" s="20" t="s">
        <v>64</v>
      </c>
      <c r="D18" s="20" t="s">
        <v>146</v>
      </c>
      <c r="E18" s="20" t="s">
        <v>395</v>
      </c>
      <c r="F18" s="19">
        <v>2</v>
      </c>
      <c r="G18" s="20" t="s">
        <v>427</v>
      </c>
      <c r="H18" s="19" t="s">
        <v>400</v>
      </c>
      <c r="I18" s="35"/>
      <c r="J18" s="19" t="s">
        <v>33</v>
      </c>
    </row>
    <row r="19" spans="1:10" ht="18.649999999999999" customHeight="1" x14ac:dyDescent="0.35">
      <c r="A19" s="16" t="s">
        <v>428</v>
      </c>
      <c r="B19" s="16" t="s">
        <v>63</v>
      </c>
      <c r="C19" s="15" t="s">
        <v>64</v>
      </c>
      <c r="D19" s="15" t="s">
        <v>146</v>
      </c>
      <c r="E19" s="15" t="s">
        <v>395</v>
      </c>
      <c r="F19" s="16">
        <v>3</v>
      </c>
      <c r="G19" s="15" t="s">
        <v>429</v>
      </c>
      <c r="H19" s="16" t="s">
        <v>400</v>
      </c>
      <c r="I19" s="35"/>
      <c r="J19" s="16" t="s">
        <v>33</v>
      </c>
    </row>
    <row r="20" spans="1:10" ht="18.649999999999999" customHeight="1" x14ac:dyDescent="0.35">
      <c r="A20" s="19" t="s">
        <v>430</v>
      </c>
      <c r="B20" s="19" t="s">
        <v>63</v>
      </c>
      <c r="C20" s="20" t="s">
        <v>64</v>
      </c>
      <c r="D20" s="20" t="s">
        <v>146</v>
      </c>
      <c r="E20" s="20" t="s">
        <v>395</v>
      </c>
      <c r="F20" s="19">
        <v>4</v>
      </c>
      <c r="G20" s="20" t="s">
        <v>431</v>
      </c>
      <c r="H20" s="19" t="s">
        <v>400</v>
      </c>
      <c r="I20" s="35"/>
      <c r="J20" s="19" t="s">
        <v>33</v>
      </c>
    </row>
    <row r="21" spans="1:10" ht="18.649999999999999" customHeight="1" x14ac:dyDescent="0.35">
      <c r="A21" s="16" t="s">
        <v>432</v>
      </c>
      <c r="B21" s="16" t="s">
        <v>63</v>
      </c>
      <c r="C21" s="15" t="s">
        <v>64</v>
      </c>
      <c r="D21" s="15" t="s">
        <v>146</v>
      </c>
      <c r="E21" s="15" t="s">
        <v>395</v>
      </c>
      <c r="F21" s="16">
        <v>5</v>
      </c>
      <c r="G21" s="15" t="s">
        <v>433</v>
      </c>
      <c r="H21" s="16" t="s">
        <v>400</v>
      </c>
      <c r="I21" s="35"/>
      <c r="J21" s="16" t="s">
        <v>33</v>
      </c>
    </row>
    <row r="22" spans="1:10" ht="18.649999999999999" customHeight="1" x14ac:dyDescent="0.35">
      <c r="A22" s="19" t="s">
        <v>434</v>
      </c>
      <c r="B22" s="19" t="s">
        <v>63</v>
      </c>
      <c r="C22" s="20" t="s">
        <v>64</v>
      </c>
      <c r="D22" s="20" t="s">
        <v>146</v>
      </c>
      <c r="E22" s="20" t="s">
        <v>395</v>
      </c>
      <c r="F22" s="19">
        <v>6</v>
      </c>
      <c r="G22" s="20" t="s">
        <v>435</v>
      </c>
      <c r="H22" s="19" t="s">
        <v>400</v>
      </c>
      <c r="I22" s="35"/>
      <c r="J22" s="19" t="s">
        <v>33</v>
      </c>
    </row>
    <row r="23" spans="1:10" ht="18.649999999999999" customHeight="1" x14ac:dyDescent="0.35">
      <c r="A23" s="16" t="s">
        <v>436</v>
      </c>
      <c r="B23" s="16" t="s">
        <v>63</v>
      </c>
      <c r="C23" s="15" t="s">
        <v>64</v>
      </c>
      <c r="D23" s="15" t="s">
        <v>146</v>
      </c>
      <c r="E23" s="15" t="s">
        <v>395</v>
      </c>
      <c r="F23" s="16">
        <v>7</v>
      </c>
      <c r="G23" s="15" t="s">
        <v>437</v>
      </c>
      <c r="H23" s="16" t="s">
        <v>409</v>
      </c>
      <c r="I23" s="35"/>
      <c r="J23" s="16" t="s">
        <v>33</v>
      </c>
    </row>
    <row r="24" spans="1:10" ht="18.649999999999999" customHeight="1" x14ac:dyDescent="0.35">
      <c r="A24" s="19" t="s">
        <v>438</v>
      </c>
      <c r="B24" s="19" t="s">
        <v>63</v>
      </c>
      <c r="C24" s="20" t="s">
        <v>64</v>
      </c>
      <c r="D24" s="20" t="s">
        <v>146</v>
      </c>
      <c r="E24" s="20" t="s">
        <v>395</v>
      </c>
      <c r="F24" s="19">
        <v>8</v>
      </c>
      <c r="G24" s="20" t="s">
        <v>439</v>
      </c>
      <c r="H24" s="19" t="s">
        <v>440</v>
      </c>
      <c r="I24" s="35"/>
      <c r="J24" s="19" t="s">
        <v>33</v>
      </c>
    </row>
    <row r="25" spans="1:10" ht="18.649999999999999" customHeight="1" x14ac:dyDescent="0.35">
      <c r="A25" s="16" t="s">
        <v>441</v>
      </c>
      <c r="B25" s="16" t="s">
        <v>60</v>
      </c>
      <c r="C25" s="15" t="s">
        <v>61</v>
      </c>
      <c r="D25" s="15" t="s">
        <v>165</v>
      </c>
      <c r="E25" s="15" t="s">
        <v>416</v>
      </c>
      <c r="F25" s="16">
        <v>1</v>
      </c>
      <c r="G25" s="15" t="s">
        <v>442</v>
      </c>
      <c r="H25" s="16" t="s">
        <v>400</v>
      </c>
      <c r="I25" s="35"/>
      <c r="J25" s="16" t="s">
        <v>33</v>
      </c>
    </row>
    <row r="26" spans="1:10" ht="18.649999999999999" customHeight="1" x14ac:dyDescent="0.35">
      <c r="A26" s="19" t="s">
        <v>443</v>
      </c>
      <c r="B26" s="19" t="s">
        <v>60</v>
      </c>
      <c r="C26" s="20" t="s">
        <v>61</v>
      </c>
      <c r="D26" s="20" t="s">
        <v>165</v>
      </c>
      <c r="E26" s="20" t="s">
        <v>416</v>
      </c>
      <c r="F26" s="19">
        <v>2</v>
      </c>
      <c r="G26" s="20" t="s">
        <v>444</v>
      </c>
      <c r="H26" s="19" t="s">
        <v>445</v>
      </c>
      <c r="I26" s="35"/>
      <c r="J26" s="19" t="s">
        <v>33</v>
      </c>
    </row>
    <row r="27" spans="1:10" ht="18.649999999999999" customHeight="1" x14ac:dyDescent="0.35">
      <c r="A27" s="16" t="s">
        <v>446</v>
      </c>
      <c r="B27" s="16" t="s">
        <v>60</v>
      </c>
      <c r="C27" s="15" t="s">
        <v>61</v>
      </c>
      <c r="D27" s="15" t="s">
        <v>165</v>
      </c>
      <c r="E27" s="15" t="s">
        <v>416</v>
      </c>
      <c r="F27" s="16">
        <v>3</v>
      </c>
      <c r="G27" s="15" t="s">
        <v>447</v>
      </c>
      <c r="H27" s="16" t="s">
        <v>400</v>
      </c>
      <c r="I27" s="35"/>
      <c r="J27" s="16" t="s">
        <v>33</v>
      </c>
    </row>
    <row r="28" spans="1:10" ht="18.649999999999999" customHeight="1" x14ac:dyDescent="0.35">
      <c r="A28" s="19" t="s">
        <v>448</v>
      </c>
      <c r="B28" s="19" t="s">
        <v>60</v>
      </c>
      <c r="C28" s="20" t="s">
        <v>61</v>
      </c>
      <c r="D28" s="20" t="s">
        <v>165</v>
      </c>
      <c r="E28" s="20" t="s">
        <v>416</v>
      </c>
      <c r="F28" s="19">
        <v>4</v>
      </c>
      <c r="G28" s="20" t="s">
        <v>449</v>
      </c>
      <c r="H28" s="19" t="s">
        <v>400</v>
      </c>
      <c r="I28" s="35"/>
      <c r="J28" s="19" t="s">
        <v>33</v>
      </c>
    </row>
    <row r="29" spans="1:10" ht="18.649999999999999" customHeight="1" x14ac:dyDescent="0.35">
      <c r="A29" s="16" t="s">
        <v>450</v>
      </c>
      <c r="B29" s="16" t="s">
        <v>60</v>
      </c>
      <c r="C29" s="15" t="s">
        <v>61</v>
      </c>
      <c r="D29" s="15" t="s">
        <v>165</v>
      </c>
      <c r="E29" s="15" t="s">
        <v>416</v>
      </c>
      <c r="F29" s="16">
        <v>5</v>
      </c>
      <c r="G29" s="15" t="s">
        <v>451</v>
      </c>
      <c r="H29" s="16" t="s">
        <v>445</v>
      </c>
      <c r="I29" s="35"/>
      <c r="J29" s="16" t="s">
        <v>33</v>
      </c>
    </row>
    <row r="30" spans="1:10" ht="18.649999999999999" customHeight="1" x14ac:dyDescent="0.35">
      <c r="A30" s="19" t="s">
        <v>452</v>
      </c>
      <c r="B30" s="19" t="s">
        <v>60</v>
      </c>
      <c r="C30" s="20" t="s">
        <v>61</v>
      </c>
      <c r="D30" s="20" t="s">
        <v>165</v>
      </c>
      <c r="E30" s="20" t="s">
        <v>416</v>
      </c>
      <c r="F30" s="19">
        <v>6</v>
      </c>
      <c r="G30" s="20" t="s">
        <v>453</v>
      </c>
      <c r="H30" s="19" t="s">
        <v>445</v>
      </c>
      <c r="I30" s="35"/>
      <c r="J30" s="19" t="s">
        <v>33</v>
      </c>
    </row>
    <row r="31" spans="1:10" ht="18.649999999999999" customHeight="1" x14ac:dyDescent="0.35">
      <c r="A31" s="16" t="s">
        <v>454</v>
      </c>
      <c r="B31" s="16" t="s">
        <v>60</v>
      </c>
      <c r="C31" s="15" t="s">
        <v>61</v>
      </c>
      <c r="D31" s="15" t="s">
        <v>165</v>
      </c>
      <c r="E31" s="15" t="s">
        <v>416</v>
      </c>
      <c r="F31" s="16">
        <v>7</v>
      </c>
      <c r="G31" s="15" t="s">
        <v>455</v>
      </c>
      <c r="H31" s="16" t="s">
        <v>400</v>
      </c>
      <c r="I31" s="35"/>
      <c r="J31" s="16" t="s">
        <v>33</v>
      </c>
    </row>
    <row r="32" spans="1:10" ht="18.649999999999999" customHeight="1" x14ac:dyDescent="0.35">
      <c r="A32" s="19" t="s">
        <v>456</v>
      </c>
      <c r="B32" s="19" t="s">
        <v>60</v>
      </c>
      <c r="C32" s="20" t="s">
        <v>61</v>
      </c>
      <c r="D32" s="20" t="s">
        <v>165</v>
      </c>
      <c r="E32" s="20" t="s">
        <v>395</v>
      </c>
      <c r="F32" s="19">
        <v>1</v>
      </c>
      <c r="G32" s="20" t="s">
        <v>457</v>
      </c>
      <c r="H32" s="19" t="s">
        <v>400</v>
      </c>
      <c r="I32" s="35"/>
      <c r="J32" s="19" t="s">
        <v>33</v>
      </c>
    </row>
    <row r="33" spans="1:10" ht="18.649999999999999" customHeight="1" x14ac:dyDescent="0.35">
      <c r="A33" s="16" t="s">
        <v>458</v>
      </c>
      <c r="B33" s="16" t="s">
        <v>60</v>
      </c>
      <c r="C33" s="15" t="s">
        <v>61</v>
      </c>
      <c r="D33" s="15" t="s">
        <v>165</v>
      </c>
      <c r="E33" s="15" t="s">
        <v>395</v>
      </c>
      <c r="F33" s="16">
        <v>2</v>
      </c>
      <c r="G33" s="15" t="s">
        <v>459</v>
      </c>
      <c r="H33" s="16" t="s">
        <v>400</v>
      </c>
      <c r="I33" s="35"/>
      <c r="J33" s="16" t="s">
        <v>33</v>
      </c>
    </row>
    <row r="34" spans="1:10" ht="18.649999999999999" customHeight="1" x14ac:dyDescent="0.35">
      <c r="A34" s="19" t="s">
        <v>460</v>
      </c>
      <c r="B34" s="19" t="s">
        <v>60</v>
      </c>
      <c r="C34" s="20" t="s">
        <v>61</v>
      </c>
      <c r="D34" s="20" t="s">
        <v>165</v>
      </c>
      <c r="E34" s="20" t="s">
        <v>395</v>
      </c>
      <c r="F34" s="19">
        <v>3</v>
      </c>
      <c r="G34" s="20" t="s">
        <v>461</v>
      </c>
      <c r="H34" s="19" t="s">
        <v>400</v>
      </c>
      <c r="I34" s="35"/>
      <c r="J34" s="19" t="s">
        <v>33</v>
      </c>
    </row>
    <row r="35" spans="1:10" ht="18.649999999999999" customHeight="1" x14ac:dyDescent="0.35">
      <c r="A35" s="16" t="s">
        <v>462</v>
      </c>
      <c r="B35" s="16" t="s">
        <v>60</v>
      </c>
      <c r="C35" s="15" t="s">
        <v>61</v>
      </c>
      <c r="D35" s="15" t="s">
        <v>165</v>
      </c>
      <c r="E35" s="15" t="s">
        <v>395</v>
      </c>
      <c r="F35" s="16">
        <v>4</v>
      </c>
      <c r="G35" s="15" t="s">
        <v>463</v>
      </c>
      <c r="H35" s="16" t="s">
        <v>440</v>
      </c>
      <c r="I35" s="35"/>
      <c r="J35" s="16" t="s">
        <v>33</v>
      </c>
    </row>
    <row r="36" spans="1:10" ht="18.649999999999999" customHeight="1" x14ac:dyDescent="0.35">
      <c r="A36" s="19" t="s">
        <v>464</v>
      </c>
      <c r="B36" s="19" t="s">
        <v>60</v>
      </c>
      <c r="C36" s="20" t="s">
        <v>61</v>
      </c>
      <c r="D36" s="20" t="s">
        <v>165</v>
      </c>
      <c r="E36" s="20" t="s">
        <v>395</v>
      </c>
      <c r="F36" s="19">
        <v>5</v>
      </c>
      <c r="G36" s="20" t="s">
        <v>465</v>
      </c>
      <c r="H36" s="19" t="s">
        <v>445</v>
      </c>
      <c r="I36" s="35"/>
      <c r="J36" s="19" t="s">
        <v>33</v>
      </c>
    </row>
    <row r="37" spans="1:10" ht="18.649999999999999" customHeight="1" x14ac:dyDescent="0.35">
      <c r="A37" s="16" t="s">
        <v>466</v>
      </c>
      <c r="B37" s="16" t="s">
        <v>60</v>
      </c>
      <c r="C37" s="15" t="s">
        <v>61</v>
      </c>
      <c r="D37" s="15" t="s">
        <v>165</v>
      </c>
      <c r="E37" s="15" t="s">
        <v>395</v>
      </c>
      <c r="F37" s="16">
        <v>6</v>
      </c>
      <c r="G37" s="15" t="s">
        <v>467</v>
      </c>
      <c r="H37" s="16" t="s">
        <v>445</v>
      </c>
      <c r="I37" s="35"/>
      <c r="J37" s="16" t="s">
        <v>33</v>
      </c>
    </row>
    <row r="38" spans="1:10" ht="18.649999999999999" customHeight="1" x14ac:dyDescent="0.35">
      <c r="A38" s="19" t="s">
        <v>468</v>
      </c>
      <c r="B38" s="19" t="s">
        <v>87</v>
      </c>
      <c r="C38" s="20" t="s">
        <v>88</v>
      </c>
      <c r="D38" s="20" t="s">
        <v>186</v>
      </c>
      <c r="E38" s="20" t="s">
        <v>469</v>
      </c>
      <c r="F38" s="19">
        <v>1</v>
      </c>
      <c r="G38" s="20" t="s">
        <v>470</v>
      </c>
      <c r="H38" s="19" t="s">
        <v>400</v>
      </c>
      <c r="I38" s="35"/>
      <c r="J38" s="19" t="s">
        <v>33</v>
      </c>
    </row>
    <row r="39" spans="1:10" ht="18.649999999999999" customHeight="1" x14ac:dyDescent="0.35">
      <c r="A39" s="16" t="s">
        <v>471</v>
      </c>
      <c r="B39" s="16" t="s">
        <v>87</v>
      </c>
      <c r="C39" s="15" t="s">
        <v>88</v>
      </c>
      <c r="D39" s="15" t="s">
        <v>186</v>
      </c>
      <c r="E39" s="15" t="s">
        <v>469</v>
      </c>
      <c r="F39" s="16">
        <v>2</v>
      </c>
      <c r="G39" s="15" t="s">
        <v>472</v>
      </c>
      <c r="H39" s="16" t="s">
        <v>400</v>
      </c>
      <c r="I39" s="35"/>
      <c r="J39" s="16" t="s">
        <v>33</v>
      </c>
    </row>
    <row r="40" spans="1:10" ht="18.649999999999999" customHeight="1" x14ac:dyDescent="0.35">
      <c r="A40" s="19" t="s">
        <v>473</v>
      </c>
      <c r="B40" s="19" t="s">
        <v>87</v>
      </c>
      <c r="C40" s="20" t="s">
        <v>88</v>
      </c>
      <c r="D40" s="20" t="s">
        <v>186</v>
      </c>
      <c r="E40" s="20" t="s">
        <v>469</v>
      </c>
      <c r="F40" s="19">
        <v>3</v>
      </c>
      <c r="G40" s="20" t="s">
        <v>474</v>
      </c>
      <c r="H40" s="19" t="s">
        <v>400</v>
      </c>
      <c r="I40" s="35"/>
      <c r="J40" s="19" t="s">
        <v>33</v>
      </c>
    </row>
    <row r="41" spans="1:10" ht="18.649999999999999" customHeight="1" x14ac:dyDescent="0.35">
      <c r="A41" s="16" t="s">
        <v>475</v>
      </c>
      <c r="B41" s="16" t="s">
        <v>87</v>
      </c>
      <c r="C41" s="15" t="s">
        <v>88</v>
      </c>
      <c r="D41" s="15" t="s">
        <v>186</v>
      </c>
      <c r="E41" s="15" t="s">
        <v>469</v>
      </c>
      <c r="F41" s="16">
        <v>4</v>
      </c>
      <c r="G41" s="15" t="s">
        <v>476</v>
      </c>
      <c r="H41" s="16" t="s">
        <v>400</v>
      </c>
      <c r="I41" s="35"/>
      <c r="J41" s="16" t="s">
        <v>33</v>
      </c>
    </row>
    <row r="42" spans="1:10" ht="18.649999999999999" customHeight="1" x14ac:dyDescent="0.35">
      <c r="A42" s="19" t="s">
        <v>477</v>
      </c>
      <c r="B42" s="19" t="s">
        <v>87</v>
      </c>
      <c r="C42" s="20" t="s">
        <v>88</v>
      </c>
      <c r="D42" s="20" t="s">
        <v>186</v>
      </c>
      <c r="E42" s="20" t="s">
        <v>469</v>
      </c>
      <c r="F42" s="19">
        <v>5</v>
      </c>
      <c r="G42" s="20" t="s">
        <v>478</v>
      </c>
      <c r="H42" s="19" t="s">
        <v>400</v>
      </c>
      <c r="I42" s="35"/>
      <c r="J42" s="19" t="s">
        <v>33</v>
      </c>
    </row>
    <row r="43" spans="1:10" ht="18.649999999999999" customHeight="1" x14ac:dyDescent="0.35">
      <c r="A43" s="16" t="s">
        <v>479</v>
      </c>
      <c r="B43" s="16" t="s">
        <v>87</v>
      </c>
      <c r="C43" s="15" t="s">
        <v>88</v>
      </c>
      <c r="D43" s="15" t="s">
        <v>186</v>
      </c>
      <c r="E43" s="15" t="s">
        <v>469</v>
      </c>
      <c r="F43" s="16">
        <v>6</v>
      </c>
      <c r="G43" s="15" t="s">
        <v>480</v>
      </c>
      <c r="H43" s="16" t="s">
        <v>409</v>
      </c>
      <c r="I43" s="35"/>
      <c r="J43" s="16" t="s">
        <v>33</v>
      </c>
    </row>
    <row r="44" spans="1:10" ht="18.649999999999999" customHeight="1" x14ac:dyDescent="0.35">
      <c r="A44" s="19" t="s">
        <v>481</v>
      </c>
      <c r="B44" s="19" t="s">
        <v>87</v>
      </c>
      <c r="C44" s="20" t="s">
        <v>88</v>
      </c>
      <c r="D44" s="20" t="s">
        <v>186</v>
      </c>
      <c r="E44" s="20" t="s">
        <v>469</v>
      </c>
      <c r="F44" s="19">
        <v>7</v>
      </c>
      <c r="G44" s="20" t="s">
        <v>482</v>
      </c>
      <c r="H44" s="19" t="s">
        <v>445</v>
      </c>
      <c r="I44" s="35"/>
      <c r="J44" s="19" t="s">
        <v>33</v>
      </c>
    </row>
    <row r="45" spans="1:10" ht="18.649999999999999" customHeight="1" x14ac:dyDescent="0.35">
      <c r="A45" s="16" t="s">
        <v>483</v>
      </c>
      <c r="B45" s="16" t="s">
        <v>87</v>
      </c>
      <c r="C45" s="15" t="s">
        <v>88</v>
      </c>
      <c r="D45" s="15" t="s">
        <v>186</v>
      </c>
      <c r="E45" s="15" t="s">
        <v>484</v>
      </c>
      <c r="F45" s="16">
        <v>1</v>
      </c>
      <c r="G45" s="15" t="s">
        <v>470</v>
      </c>
      <c r="H45" s="16" t="s">
        <v>400</v>
      </c>
      <c r="I45" s="35"/>
      <c r="J45" s="16" t="s">
        <v>33</v>
      </c>
    </row>
    <row r="46" spans="1:10" ht="18.649999999999999" customHeight="1" x14ac:dyDescent="0.35">
      <c r="A46" s="19" t="s">
        <v>485</v>
      </c>
      <c r="B46" s="19" t="s">
        <v>87</v>
      </c>
      <c r="C46" s="20" t="s">
        <v>88</v>
      </c>
      <c r="D46" s="20" t="s">
        <v>186</v>
      </c>
      <c r="E46" s="20" t="s">
        <v>484</v>
      </c>
      <c r="F46" s="19">
        <v>2</v>
      </c>
      <c r="G46" s="20" t="s">
        <v>486</v>
      </c>
      <c r="H46" s="19" t="s">
        <v>400</v>
      </c>
      <c r="I46" s="35"/>
      <c r="J46" s="19" t="s">
        <v>33</v>
      </c>
    </row>
    <row r="47" spans="1:10" ht="18.649999999999999" customHeight="1" x14ac:dyDescent="0.35">
      <c r="A47" s="16" t="s">
        <v>487</v>
      </c>
      <c r="B47" s="16" t="s">
        <v>87</v>
      </c>
      <c r="C47" s="15" t="s">
        <v>88</v>
      </c>
      <c r="D47" s="15" t="s">
        <v>186</v>
      </c>
      <c r="E47" s="15" t="s">
        <v>484</v>
      </c>
      <c r="F47" s="16">
        <v>3</v>
      </c>
      <c r="G47" s="15" t="s">
        <v>488</v>
      </c>
      <c r="H47" s="16" t="s">
        <v>400</v>
      </c>
      <c r="I47" s="35"/>
      <c r="J47" s="16" t="s">
        <v>33</v>
      </c>
    </row>
    <row r="48" spans="1:10" ht="18.649999999999999" customHeight="1" x14ac:dyDescent="0.35">
      <c r="A48" s="19" t="s">
        <v>489</v>
      </c>
      <c r="B48" s="19" t="s">
        <v>87</v>
      </c>
      <c r="C48" s="20" t="s">
        <v>88</v>
      </c>
      <c r="D48" s="20" t="s">
        <v>186</v>
      </c>
      <c r="E48" s="20" t="s">
        <v>484</v>
      </c>
      <c r="F48" s="19">
        <v>4</v>
      </c>
      <c r="G48" s="20" t="s">
        <v>474</v>
      </c>
      <c r="H48" s="19" t="s">
        <v>400</v>
      </c>
      <c r="I48" s="35"/>
      <c r="J48" s="19" t="s">
        <v>33</v>
      </c>
    </row>
    <row r="49" spans="1:10" ht="18.649999999999999" customHeight="1" x14ac:dyDescent="0.35">
      <c r="A49" s="16" t="s">
        <v>490</v>
      </c>
      <c r="B49" s="16" t="s">
        <v>87</v>
      </c>
      <c r="C49" s="15" t="s">
        <v>88</v>
      </c>
      <c r="D49" s="15" t="s">
        <v>186</v>
      </c>
      <c r="E49" s="15" t="s">
        <v>484</v>
      </c>
      <c r="F49" s="16">
        <v>5</v>
      </c>
      <c r="G49" s="15" t="s">
        <v>478</v>
      </c>
      <c r="H49" s="16" t="s">
        <v>400</v>
      </c>
      <c r="I49" s="35"/>
      <c r="J49" s="16" t="s">
        <v>33</v>
      </c>
    </row>
    <row r="50" spans="1:10" ht="18.649999999999999" customHeight="1" x14ac:dyDescent="0.35">
      <c r="A50" s="19" t="s">
        <v>491</v>
      </c>
      <c r="B50" s="19" t="s">
        <v>87</v>
      </c>
      <c r="C50" s="20" t="s">
        <v>88</v>
      </c>
      <c r="D50" s="20" t="s">
        <v>186</v>
      </c>
      <c r="E50" s="20" t="s">
        <v>484</v>
      </c>
      <c r="F50" s="19">
        <v>6</v>
      </c>
      <c r="G50" s="20" t="s">
        <v>480</v>
      </c>
      <c r="H50" s="19" t="s">
        <v>409</v>
      </c>
      <c r="I50" s="35"/>
      <c r="J50" s="19" t="s">
        <v>33</v>
      </c>
    </row>
    <row r="51" spans="1:10" ht="18.649999999999999" customHeight="1" x14ac:dyDescent="0.35">
      <c r="A51" s="16" t="s">
        <v>492</v>
      </c>
      <c r="B51" s="16" t="s">
        <v>87</v>
      </c>
      <c r="C51" s="15" t="s">
        <v>88</v>
      </c>
      <c r="D51" s="15" t="s">
        <v>186</v>
      </c>
      <c r="E51" s="15" t="s">
        <v>484</v>
      </c>
      <c r="F51" s="16">
        <v>7</v>
      </c>
      <c r="G51" s="15" t="s">
        <v>482</v>
      </c>
      <c r="H51" s="16" t="s">
        <v>445</v>
      </c>
      <c r="I51" s="35"/>
      <c r="J51" s="16" t="s">
        <v>33</v>
      </c>
    </row>
    <row r="52" spans="1:10" ht="18.649999999999999" customHeight="1" x14ac:dyDescent="0.35">
      <c r="A52" s="19" t="s">
        <v>493</v>
      </c>
      <c r="B52" s="19" t="s">
        <v>87</v>
      </c>
      <c r="C52" s="20" t="s">
        <v>88</v>
      </c>
      <c r="D52" s="20" t="s">
        <v>186</v>
      </c>
      <c r="E52" s="20" t="s">
        <v>494</v>
      </c>
      <c r="F52" s="19">
        <v>1</v>
      </c>
      <c r="G52" s="20" t="s">
        <v>495</v>
      </c>
      <c r="H52" s="19" t="s">
        <v>400</v>
      </c>
      <c r="I52" s="35"/>
      <c r="J52" s="19" t="s">
        <v>33</v>
      </c>
    </row>
    <row r="53" spans="1:10" ht="18.649999999999999" customHeight="1" x14ac:dyDescent="0.35">
      <c r="A53" s="16" t="s">
        <v>496</v>
      </c>
      <c r="B53" s="16" t="s">
        <v>87</v>
      </c>
      <c r="C53" s="15" t="s">
        <v>88</v>
      </c>
      <c r="D53" s="15" t="s">
        <v>186</v>
      </c>
      <c r="E53" s="15" t="s">
        <v>494</v>
      </c>
      <c r="F53" s="16">
        <v>2</v>
      </c>
      <c r="G53" s="15" t="s">
        <v>497</v>
      </c>
      <c r="H53" s="16" t="s">
        <v>400</v>
      </c>
      <c r="I53" s="35"/>
      <c r="J53" s="16" t="s">
        <v>33</v>
      </c>
    </row>
    <row r="54" spans="1:10" ht="18.649999999999999" customHeight="1" x14ac:dyDescent="0.35">
      <c r="A54" s="19" t="s">
        <v>498</v>
      </c>
      <c r="B54" s="19" t="s">
        <v>87</v>
      </c>
      <c r="C54" s="20" t="s">
        <v>88</v>
      </c>
      <c r="D54" s="20" t="s">
        <v>186</v>
      </c>
      <c r="E54" s="20" t="s">
        <v>494</v>
      </c>
      <c r="F54" s="19">
        <v>3</v>
      </c>
      <c r="G54" s="20" t="s">
        <v>499</v>
      </c>
      <c r="H54" s="19" t="s">
        <v>400</v>
      </c>
      <c r="I54" s="35"/>
      <c r="J54" s="19" t="s">
        <v>33</v>
      </c>
    </row>
    <row r="55" spans="1:10" ht="18.649999999999999" customHeight="1" x14ac:dyDescent="0.35">
      <c r="A55" s="16" t="s">
        <v>500</v>
      </c>
      <c r="B55" s="16" t="s">
        <v>87</v>
      </c>
      <c r="C55" s="15" t="s">
        <v>88</v>
      </c>
      <c r="D55" s="15" t="s">
        <v>186</v>
      </c>
      <c r="E55" s="15" t="s">
        <v>494</v>
      </c>
      <c r="F55" s="16">
        <v>4</v>
      </c>
      <c r="G55" s="15" t="s">
        <v>478</v>
      </c>
      <c r="H55" s="16" t="s">
        <v>400</v>
      </c>
      <c r="I55" s="35"/>
      <c r="J55" s="16" t="s">
        <v>33</v>
      </c>
    </row>
    <row r="56" spans="1:10" ht="18.649999999999999" customHeight="1" x14ac:dyDescent="0.35">
      <c r="A56" s="19" t="s">
        <v>501</v>
      </c>
      <c r="B56" s="19" t="s">
        <v>87</v>
      </c>
      <c r="C56" s="20" t="s">
        <v>88</v>
      </c>
      <c r="D56" s="20" t="s">
        <v>186</v>
      </c>
      <c r="E56" s="20" t="s">
        <v>494</v>
      </c>
      <c r="F56" s="19">
        <v>5</v>
      </c>
      <c r="G56" s="20" t="s">
        <v>480</v>
      </c>
      <c r="H56" s="19" t="s">
        <v>409</v>
      </c>
      <c r="I56" s="35"/>
      <c r="J56" s="19" t="s">
        <v>33</v>
      </c>
    </row>
    <row r="57" spans="1:10" ht="18.649999999999999" customHeight="1" x14ac:dyDescent="0.35">
      <c r="A57" s="16" t="s">
        <v>502</v>
      </c>
      <c r="B57" s="16" t="s">
        <v>87</v>
      </c>
      <c r="C57" s="15" t="s">
        <v>88</v>
      </c>
      <c r="D57" s="15" t="s">
        <v>186</v>
      </c>
      <c r="E57" s="15" t="s">
        <v>494</v>
      </c>
      <c r="F57" s="16">
        <v>6</v>
      </c>
      <c r="G57" s="15" t="s">
        <v>482</v>
      </c>
      <c r="H57" s="16" t="s">
        <v>445</v>
      </c>
      <c r="I57" s="35"/>
      <c r="J57" s="16" t="s">
        <v>33</v>
      </c>
    </row>
    <row r="58" spans="1:10" ht="18.649999999999999" customHeight="1" x14ac:dyDescent="0.35">
      <c r="A58" s="19" t="s">
        <v>503</v>
      </c>
      <c r="B58" s="19" t="s">
        <v>87</v>
      </c>
      <c r="C58" s="20" t="s">
        <v>88</v>
      </c>
      <c r="D58" s="20" t="s">
        <v>186</v>
      </c>
      <c r="E58" s="20" t="s">
        <v>494</v>
      </c>
      <c r="F58" s="19">
        <v>7</v>
      </c>
      <c r="G58" s="20" t="s">
        <v>504</v>
      </c>
      <c r="H58" s="19" t="s">
        <v>400</v>
      </c>
      <c r="I58" s="35"/>
      <c r="J58" s="19" t="s">
        <v>33</v>
      </c>
    </row>
    <row r="59" spans="1:10" ht="18.649999999999999" customHeight="1" x14ac:dyDescent="0.35">
      <c r="A59" s="16" t="s">
        <v>505</v>
      </c>
      <c r="B59" s="16" t="s">
        <v>87</v>
      </c>
      <c r="C59" s="15" t="s">
        <v>88</v>
      </c>
      <c r="D59" s="15" t="s">
        <v>186</v>
      </c>
      <c r="E59" s="15" t="s">
        <v>494</v>
      </c>
      <c r="F59" s="16">
        <v>8</v>
      </c>
      <c r="G59" s="15" t="s">
        <v>506</v>
      </c>
      <c r="H59" s="16" t="s">
        <v>400</v>
      </c>
      <c r="I59" s="35"/>
      <c r="J59" s="16" t="s">
        <v>33</v>
      </c>
    </row>
    <row r="60" spans="1:10" ht="18.649999999999999" customHeight="1" x14ac:dyDescent="0.35">
      <c r="A60" s="19" t="s">
        <v>507</v>
      </c>
      <c r="B60" s="19" t="s">
        <v>87</v>
      </c>
      <c r="C60" s="20" t="s">
        <v>88</v>
      </c>
      <c r="D60" s="20" t="s">
        <v>186</v>
      </c>
      <c r="E60" s="20" t="s">
        <v>508</v>
      </c>
      <c r="F60" s="19">
        <v>1</v>
      </c>
      <c r="G60" s="20" t="s">
        <v>509</v>
      </c>
      <c r="H60" s="19" t="s">
        <v>400</v>
      </c>
      <c r="I60" s="35"/>
      <c r="J60" s="19" t="s">
        <v>33</v>
      </c>
    </row>
    <row r="61" spans="1:10" ht="18.649999999999999" customHeight="1" x14ac:dyDescent="0.35">
      <c r="A61" s="16" t="s">
        <v>510</v>
      </c>
      <c r="B61" s="16" t="s">
        <v>87</v>
      </c>
      <c r="C61" s="15" t="s">
        <v>88</v>
      </c>
      <c r="D61" s="15" t="s">
        <v>186</v>
      </c>
      <c r="E61" s="15" t="s">
        <v>508</v>
      </c>
      <c r="F61" s="16">
        <v>2</v>
      </c>
      <c r="G61" s="15" t="s">
        <v>511</v>
      </c>
      <c r="H61" s="16" t="s">
        <v>400</v>
      </c>
      <c r="I61" s="35"/>
      <c r="J61" s="16" t="s">
        <v>33</v>
      </c>
    </row>
    <row r="62" spans="1:10" ht="18.649999999999999" customHeight="1" x14ac:dyDescent="0.35">
      <c r="A62" s="19" t="s">
        <v>512</v>
      </c>
      <c r="B62" s="19" t="s">
        <v>87</v>
      </c>
      <c r="C62" s="20" t="s">
        <v>88</v>
      </c>
      <c r="D62" s="20" t="s">
        <v>186</v>
      </c>
      <c r="E62" s="20" t="s">
        <v>508</v>
      </c>
      <c r="F62" s="19">
        <v>3</v>
      </c>
      <c r="G62" s="20" t="s">
        <v>513</v>
      </c>
      <c r="H62" s="19" t="s">
        <v>400</v>
      </c>
      <c r="I62" s="35"/>
      <c r="J62" s="19" t="s">
        <v>33</v>
      </c>
    </row>
    <row r="63" spans="1:10" ht="18.649999999999999" customHeight="1" x14ac:dyDescent="0.35">
      <c r="A63" s="16" t="s">
        <v>514</v>
      </c>
      <c r="B63" s="16" t="s">
        <v>87</v>
      </c>
      <c r="C63" s="15" t="s">
        <v>88</v>
      </c>
      <c r="D63" s="15" t="s">
        <v>186</v>
      </c>
      <c r="E63" s="15" t="s">
        <v>508</v>
      </c>
      <c r="F63" s="16">
        <v>4</v>
      </c>
      <c r="G63" s="15" t="s">
        <v>515</v>
      </c>
      <c r="H63" s="16" t="s">
        <v>400</v>
      </c>
      <c r="I63" s="35"/>
      <c r="J63" s="16" t="s">
        <v>33</v>
      </c>
    </row>
    <row r="64" spans="1:10" ht="18.649999999999999" customHeight="1" x14ac:dyDescent="0.35">
      <c r="A64" s="19" t="s">
        <v>516</v>
      </c>
      <c r="B64" s="19" t="s">
        <v>68</v>
      </c>
      <c r="C64" s="20" t="s">
        <v>69</v>
      </c>
      <c r="D64" s="20" t="s">
        <v>216</v>
      </c>
      <c r="E64" s="20" t="s">
        <v>416</v>
      </c>
      <c r="F64" s="19">
        <v>1</v>
      </c>
      <c r="G64" s="20" t="s">
        <v>517</v>
      </c>
      <c r="H64" s="19" t="s">
        <v>400</v>
      </c>
      <c r="I64" s="35"/>
      <c r="J64" s="19" t="s">
        <v>33</v>
      </c>
    </row>
    <row r="65" spans="1:10" ht="18.649999999999999" customHeight="1" x14ac:dyDescent="0.35">
      <c r="A65" s="16" t="s">
        <v>518</v>
      </c>
      <c r="B65" s="16" t="s">
        <v>68</v>
      </c>
      <c r="C65" s="15" t="s">
        <v>69</v>
      </c>
      <c r="D65" s="15" t="s">
        <v>216</v>
      </c>
      <c r="E65" s="15" t="s">
        <v>416</v>
      </c>
      <c r="F65" s="16">
        <v>2</v>
      </c>
      <c r="G65" s="15" t="s">
        <v>519</v>
      </c>
      <c r="H65" s="16" t="s">
        <v>440</v>
      </c>
      <c r="I65" s="35"/>
      <c r="J65" s="16" t="s">
        <v>33</v>
      </c>
    </row>
    <row r="66" spans="1:10" ht="18.649999999999999" customHeight="1" x14ac:dyDescent="0.35">
      <c r="A66" s="19" t="s">
        <v>520</v>
      </c>
      <c r="B66" s="19" t="s">
        <v>68</v>
      </c>
      <c r="C66" s="20" t="s">
        <v>69</v>
      </c>
      <c r="D66" s="20" t="s">
        <v>216</v>
      </c>
      <c r="E66" s="20" t="s">
        <v>416</v>
      </c>
      <c r="F66" s="19">
        <v>3</v>
      </c>
      <c r="G66" s="20" t="s">
        <v>521</v>
      </c>
      <c r="H66" s="19" t="s">
        <v>397</v>
      </c>
      <c r="I66" s="35"/>
      <c r="J66" s="19" t="s">
        <v>33</v>
      </c>
    </row>
    <row r="67" spans="1:10" ht="18.649999999999999" customHeight="1" x14ac:dyDescent="0.35">
      <c r="A67" s="16" t="s">
        <v>522</v>
      </c>
      <c r="B67" s="16" t="s">
        <v>68</v>
      </c>
      <c r="C67" s="15" t="s">
        <v>69</v>
      </c>
      <c r="D67" s="15" t="s">
        <v>216</v>
      </c>
      <c r="E67" s="15" t="s">
        <v>416</v>
      </c>
      <c r="F67" s="16">
        <v>4</v>
      </c>
      <c r="G67" s="15" t="s">
        <v>523</v>
      </c>
      <c r="H67" s="16" t="s">
        <v>397</v>
      </c>
      <c r="I67" s="35"/>
      <c r="J67" s="16" t="s">
        <v>33</v>
      </c>
    </row>
    <row r="68" spans="1:10" ht="18.649999999999999" customHeight="1" x14ac:dyDescent="0.35">
      <c r="A68" s="19" t="s">
        <v>524</v>
      </c>
      <c r="B68" s="19" t="s">
        <v>68</v>
      </c>
      <c r="C68" s="20" t="s">
        <v>69</v>
      </c>
      <c r="D68" s="20" t="s">
        <v>216</v>
      </c>
      <c r="E68" s="20" t="s">
        <v>416</v>
      </c>
      <c r="F68" s="19">
        <v>5</v>
      </c>
      <c r="G68" s="20" t="s">
        <v>525</v>
      </c>
      <c r="H68" s="19" t="s">
        <v>400</v>
      </c>
      <c r="I68" s="35"/>
      <c r="J68" s="19" t="s">
        <v>33</v>
      </c>
    </row>
    <row r="69" spans="1:10" ht="18.649999999999999" customHeight="1" x14ac:dyDescent="0.35">
      <c r="A69" s="16" t="s">
        <v>526</v>
      </c>
      <c r="B69" s="16" t="s">
        <v>68</v>
      </c>
      <c r="C69" s="15" t="s">
        <v>69</v>
      </c>
      <c r="D69" s="15" t="s">
        <v>216</v>
      </c>
      <c r="E69" s="15" t="s">
        <v>395</v>
      </c>
      <c r="F69" s="16">
        <v>1</v>
      </c>
      <c r="G69" s="15" t="s">
        <v>517</v>
      </c>
      <c r="H69" s="16" t="s">
        <v>400</v>
      </c>
      <c r="I69" s="35"/>
      <c r="J69" s="16" t="s">
        <v>33</v>
      </c>
    </row>
    <row r="70" spans="1:10" ht="18.649999999999999" customHeight="1" x14ac:dyDescent="0.35">
      <c r="A70" s="19" t="s">
        <v>527</v>
      </c>
      <c r="B70" s="19" t="s">
        <v>68</v>
      </c>
      <c r="C70" s="20" t="s">
        <v>69</v>
      </c>
      <c r="D70" s="20" t="s">
        <v>216</v>
      </c>
      <c r="E70" s="20" t="s">
        <v>395</v>
      </c>
      <c r="F70" s="19">
        <v>2</v>
      </c>
      <c r="G70" s="20" t="s">
        <v>519</v>
      </c>
      <c r="H70" s="19" t="s">
        <v>440</v>
      </c>
      <c r="I70" s="35"/>
      <c r="J70" s="19" t="s">
        <v>33</v>
      </c>
    </row>
    <row r="71" spans="1:10" ht="18.649999999999999" customHeight="1" x14ac:dyDescent="0.35">
      <c r="A71" s="16" t="s">
        <v>528</v>
      </c>
      <c r="B71" s="16" t="s">
        <v>68</v>
      </c>
      <c r="C71" s="15" t="s">
        <v>69</v>
      </c>
      <c r="D71" s="15" t="s">
        <v>216</v>
      </c>
      <c r="E71" s="15" t="s">
        <v>395</v>
      </c>
      <c r="F71" s="16">
        <v>3</v>
      </c>
      <c r="G71" s="15" t="s">
        <v>523</v>
      </c>
      <c r="H71" s="16" t="s">
        <v>397</v>
      </c>
      <c r="I71" s="35"/>
      <c r="J71" s="16" t="s">
        <v>33</v>
      </c>
    </row>
    <row r="72" spans="1:10" ht="18.649999999999999" customHeight="1" x14ac:dyDescent="0.35">
      <c r="A72" s="19" t="s">
        <v>529</v>
      </c>
      <c r="B72" s="19" t="s">
        <v>68</v>
      </c>
      <c r="C72" s="20" t="s">
        <v>69</v>
      </c>
      <c r="D72" s="20" t="s">
        <v>216</v>
      </c>
      <c r="E72" s="20" t="s">
        <v>395</v>
      </c>
      <c r="F72" s="19">
        <v>4</v>
      </c>
      <c r="G72" s="20" t="s">
        <v>525</v>
      </c>
      <c r="H72" s="19" t="s">
        <v>400</v>
      </c>
      <c r="I72" s="35"/>
      <c r="J72" s="19" t="s">
        <v>33</v>
      </c>
    </row>
    <row r="73" spans="1:10" ht="18.649999999999999" customHeight="1" x14ac:dyDescent="0.35">
      <c r="A73" s="16" t="s">
        <v>530</v>
      </c>
      <c r="B73" s="16" t="s">
        <v>73</v>
      </c>
      <c r="C73" s="15" t="s">
        <v>74</v>
      </c>
      <c r="D73" s="15" t="s">
        <v>234</v>
      </c>
      <c r="E73" s="15" t="s">
        <v>531</v>
      </c>
      <c r="F73" s="16">
        <v>1</v>
      </c>
      <c r="G73" s="15" t="s">
        <v>532</v>
      </c>
      <c r="H73" s="16" t="s">
        <v>400</v>
      </c>
      <c r="I73" s="35"/>
      <c r="J73" s="16" t="s">
        <v>33</v>
      </c>
    </row>
    <row r="74" spans="1:10" ht="18.649999999999999" customHeight="1" x14ac:dyDescent="0.35">
      <c r="A74" s="19" t="s">
        <v>533</v>
      </c>
      <c r="B74" s="19" t="s">
        <v>73</v>
      </c>
      <c r="C74" s="20" t="s">
        <v>74</v>
      </c>
      <c r="D74" s="20" t="s">
        <v>234</v>
      </c>
      <c r="E74" s="20" t="s">
        <v>531</v>
      </c>
      <c r="F74" s="19">
        <v>2</v>
      </c>
      <c r="G74" s="20" t="s">
        <v>534</v>
      </c>
      <c r="H74" s="19" t="s">
        <v>445</v>
      </c>
      <c r="I74" s="35"/>
      <c r="J74" s="19" t="s">
        <v>33</v>
      </c>
    </row>
    <row r="75" spans="1:10" ht="18.649999999999999" customHeight="1" x14ac:dyDescent="0.35">
      <c r="A75" s="16" t="s">
        <v>535</v>
      </c>
      <c r="B75" s="16" t="s">
        <v>73</v>
      </c>
      <c r="C75" s="15" t="s">
        <v>74</v>
      </c>
      <c r="D75" s="15" t="s">
        <v>234</v>
      </c>
      <c r="E75" s="15" t="s">
        <v>531</v>
      </c>
      <c r="F75" s="16">
        <v>3</v>
      </c>
      <c r="G75" s="15" t="s">
        <v>536</v>
      </c>
      <c r="H75" s="16" t="s">
        <v>400</v>
      </c>
      <c r="I75" s="35"/>
      <c r="J75" s="16" t="s">
        <v>33</v>
      </c>
    </row>
    <row r="76" spans="1:10" ht="18.649999999999999" customHeight="1" x14ac:dyDescent="0.35">
      <c r="A76" s="19" t="s">
        <v>537</v>
      </c>
      <c r="B76" s="19" t="s">
        <v>73</v>
      </c>
      <c r="C76" s="20" t="s">
        <v>74</v>
      </c>
      <c r="D76" s="20" t="s">
        <v>234</v>
      </c>
      <c r="E76" s="20" t="s">
        <v>531</v>
      </c>
      <c r="F76" s="19">
        <v>4</v>
      </c>
      <c r="G76" s="20" t="s">
        <v>538</v>
      </c>
      <c r="H76" s="19" t="s">
        <v>400</v>
      </c>
      <c r="I76" s="35"/>
      <c r="J76" s="19" t="s">
        <v>33</v>
      </c>
    </row>
    <row r="77" spans="1:10" ht="18.649999999999999" customHeight="1" x14ac:dyDescent="0.35">
      <c r="A77" s="16" t="s">
        <v>539</v>
      </c>
      <c r="B77" s="16" t="s">
        <v>73</v>
      </c>
      <c r="C77" s="15" t="s">
        <v>74</v>
      </c>
      <c r="D77" s="15" t="s">
        <v>234</v>
      </c>
      <c r="E77" s="15" t="s">
        <v>531</v>
      </c>
      <c r="F77" s="16">
        <v>5</v>
      </c>
      <c r="G77" s="15" t="s">
        <v>540</v>
      </c>
      <c r="H77" s="16" t="s">
        <v>397</v>
      </c>
      <c r="I77" s="35"/>
      <c r="J77" s="16" t="s">
        <v>33</v>
      </c>
    </row>
    <row r="78" spans="1:10" ht="18.649999999999999" customHeight="1" x14ac:dyDescent="0.35">
      <c r="A78" s="19" t="s">
        <v>541</v>
      </c>
      <c r="B78" s="19" t="s">
        <v>73</v>
      </c>
      <c r="C78" s="20" t="s">
        <v>74</v>
      </c>
      <c r="D78" s="20" t="s">
        <v>234</v>
      </c>
      <c r="E78" s="20" t="s">
        <v>531</v>
      </c>
      <c r="F78" s="19">
        <v>6</v>
      </c>
      <c r="G78" s="20" t="s">
        <v>542</v>
      </c>
      <c r="H78" s="19" t="s">
        <v>400</v>
      </c>
      <c r="I78" s="35"/>
      <c r="J78" s="19" t="s">
        <v>33</v>
      </c>
    </row>
    <row r="79" spans="1:10" ht="18.649999999999999" customHeight="1" x14ac:dyDescent="0.35">
      <c r="A79" s="16" t="s">
        <v>543</v>
      </c>
      <c r="B79" s="16" t="s">
        <v>73</v>
      </c>
      <c r="C79" s="15" t="s">
        <v>74</v>
      </c>
      <c r="D79" s="15" t="s">
        <v>234</v>
      </c>
      <c r="E79" s="15" t="s">
        <v>531</v>
      </c>
      <c r="F79" s="16">
        <v>7</v>
      </c>
      <c r="G79" s="15" t="s">
        <v>544</v>
      </c>
      <c r="H79" s="16" t="s">
        <v>400</v>
      </c>
      <c r="I79" s="35"/>
      <c r="J79" s="16" t="s">
        <v>33</v>
      </c>
    </row>
    <row r="80" spans="1:10" ht="18.649999999999999" customHeight="1" x14ac:dyDescent="0.35">
      <c r="A80" s="19" t="s">
        <v>545</v>
      </c>
      <c r="B80" s="19" t="s">
        <v>73</v>
      </c>
      <c r="C80" s="20" t="s">
        <v>74</v>
      </c>
      <c r="D80" s="20" t="s">
        <v>234</v>
      </c>
      <c r="E80" s="20" t="s">
        <v>546</v>
      </c>
      <c r="F80" s="19">
        <v>1</v>
      </c>
      <c r="G80" s="20" t="s">
        <v>547</v>
      </c>
      <c r="H80" s="19" t="s">
        <v>400</v>
      </c>
      <c r="I80" s="35"/>
      <c r="J80" s="19" t="s">
        <v>33</v>
      </c>
    </row>
    <row r="81" spans="1:10" ht="18.649999999999999" customHeight="1" x14ac:dyDescent="0.35">
      <c r="A81" s="16" t="s">
        <v>548</v>
      </c>
      <c r="B81" s="16" t="s">
        <v>73</v>
      </c>
      <c r="C81" s="15" t="s">
        <v>74</v>
      </c>
      <c r="D81" s="15" t="s">
        <v>234</v>
      </c>
      <c r="E81" s="15" t="s">
        <v>546</v>
      </c>
      <c r="F81" s="16">
        <v>2</v>
      </c>
      <c r="G81" s="15" t="s">
        <v>549</v>
      </c>
      <c r="H81" s="16" t="s">
        <v>400</v>
      </c>
      <c r="I81" s="35"/>
      <c r="J81" s="16" t="s">
        <v>33</v>
      </c>
    </row>
    <row r="82" spans="1:10" ht="18.649999999999999" customHeight="1" x14ac:dyDescent="0.35">
      <c r="A82" s="19" t="s">
        <v>550</v>
      </c>
      <c r="B82" s="19" t="s">
        <v>73</v>
      </c>
      <c r="C82" s="20" t="s">
        <v>74</v>
      </c>
      <c r="D82" s="20" t="s">
        <v>234</v>
      </c>
      <c r="E82" s="20" t="s">
        <v>546</v>
      </c>
      <c r="F82" s="19">
        <v>3</v>
      </c>
      <c r="G82" s="20" t="s">
        <v>551</v>
      </c>
      <c r="H82" s="19" t="s">
        <v>400</v>
      </c>
      <c r="I82" s="35"/>
      <c r="J82" s="19" t="s">
        <v>33</v>
      </c>
    </row>
    <row r="83" spans="1:10" ht="18.649999999999999" customHeight="1" x14ac:dyDescent="0.35">
      <c r="A83" s="16" t="s">
        <v>552</v>
      </c>
      <c r="B83" s="16" t="s">
        <v>73</v>
      </c>
      <c r="C83" s="15" t="s">
        <v>74</v>
      </c>
      <c r="D83" s="15" t="s">
        <v>234</v>
      </c>
      <c r="E83" s="15" t="s">
        <v>546</v>
      </c>
      <c r="F83" s="16">
        <v>4</v>
      </c>
      <c r="G83" s="15" t="s">
        <v>553</v>
      </c>
      <c r="H83" s="16" t="s">
        <v>400</v>
      </c>
      <c r="I83" s="35"/>
      <c r="J83" s="16" t="s">
        <v>33</v>
      </c>
    </row>
    <row r="84" spans="1:10" ht="18.649999999999999" customHeight="1" x14ac:dyDescent="0.35">
      <c r="A84" s="19" t="s">
        <v>554</v>
      </c>
      <c r="B84" s="19" t="s">
        <v>73</v>
      </c>
      <c r="C84" s="20" t="s">
        <v>74</v>
      </c>
      <c r="D84" s="20" t="s">
        <v>234</v>
      </c>
      <c r="E84" s="20" t="s">
        <v>546</v>
      </c>
      <c r="F84" s="19">
        <v>5</v>
      </c>
      <c r="G84" s="20" t="s">
        <v>555</v>
      </c>
      <c r="H84" s="19" t="s">
        <v>400</v>
      </c>
      <c r="I84" s="35"/>
      <c r="J84" s="19" t="s">
        <v>33</v>
      </c>
    </row>
    <row r="85" spans="1:10" ht="18.649999999999999" customHeight="1" x14ac:dyDescent="0.35">
      <c r="A85" s="16" t="s">
        <v>556</v>
      </c>
      <c r="B85" s="16" t="s">
        <v>55</v>
      </c>
      <c r="C85" s="15" t="s">
        <v>56</v>
      </c>
      <c r="D85" s="15" t="s">
        <v>252</v>
      </c>
      <c r="E85" s="15" t="s">
        <v>416</v>
      </c>
      <c r="F85" s="16">
        <v>1</v>
      </c>
      <c r="G85" s="15" t="s">
        <v>557</v>
      </c>
      <c r="H85" s="16" t="s">
        <v>400</v>
      </c>
      <c r="I85" s="35"/>
      <c r="J85" s="16" t="s">
        <v>33</v>
      </c>
    </row>
    <row r="86" spans="1:10" ht="18.649999999999999" customHeight="1" x14ac:dyDescent="0.35">
      <c r="A86" s="19" t="s">
        <v>558</v>
      </c>
      <c r="B86" s="19" t="s">
        <v>55</v>
      </c>
      <c r="C86" s="20" t="s">
        <v>56</v>
      </c>
      <c r="D86" s="20" t="s">
        <v>252</v>
      </c>
      <c r="E86" s="20" t="s">
        <v>416</v>
      </c>
      <c r="F86" s="19">
        <v>2</v>
      </c>
      <c r="G86" s="20" t="s">
        <v>559</v>
      </c>
      <c r="H86" s="19" t="s">
        <v>400</v>
      </c>
      <c r="I86" s="35"/>
      <c r="J86" s="19" t="s">
        <v>33</v>
      </c>
    </row>
    <row r="87" spans="1:10" ht="18.649999999999999" customHeight="1" x14ac:dyDescent="0.35">
      <c r="A87" s="16" t="s">
        <v>560</v>
      </c>
      <c r="B87" s="16" t="s">
        <v>55</v>
      </c>
      <c r="C87" s="15" t="s">
        <v>56</v>
      </c>
      <c r="D87" s="15" t="s">
        <v>252</v>
      </c>
      <c r="E87" s="15" t="s">
        <v>416</v>
      </c>
      <c r="F87" s="16">
        <v>3</v>
      </c>
      <c r="G87" s="15" t="s">
        <v>561</v>
      </c>
      <c r="H87" s="16" t="s">
        <v>400</v>
      </c>
      <c r="I87" s="35"/>
      <c r="J87" s="16" t="s">
        <v>33</v>
      </c>
    </row>
    <row r="88" spans="1:10" ht="18.649999999999999" customHeight="1" x14ac:dyDescent="0.35">
      <c r="A88" s="19" t="s">
        <v>562</v>
      </c>
      <c r="B88" s="19" t="s">
        <v>55</v>
      </c>
      <c r="C88" s="20" t="s">
        <v>56</v>
      </c>
      <c r="D88" s="20" t="s">
        <v>252</v>
      </c>
      <c r="E88" s="20" t="s">
        <v>416</v>
      </c>
      <c r="F88" s="19">
        <v>4</v>
      </c>
      <c r="G88" s="20" t="s">
        <v>563</v>
      </c>
      <c r="H88" s="19" t="s">
        <v>400</v>
      </c>
      <c r="I88" s="35"/>
      <c r="J88" s="19" t="s">
        <v>33</v>
      </c>
    </row>
    <row r="89" spans="1:10" ht="18.649999999999999" customHeight="1" x14ac:dyDescent="0.35">
      <c r="A89" s="16" t="s">
        <v>564</v>
      </c>
      <c r="B89" s="16" t="s">
        <v>55</v>
      </c>
      <c r="C89" s="15" t="s">
        <v>56</v>
      </c>
      <c r="D89" s="15" t="s">
        <v>252</v>
      </c>
      <c r="E89" s="15" t="s">
        <v>416</v>
      </c>
      <c r="F89" s="16">
        <v>5</v>
      </c>
      <c r="G89" s="15" t="s">
        <v>565</v>
      </c>
      <c r="H89" s="16" t="s">
        <v>400</v>
      </c>
      <c r="I89" s="35"/>
      <c r="J89" s="16" t="s">
        <v>33</v>
      </c>
    </row>
    <row r="90" spans="1:10" ht="18.649999999999999" customHeight="1" x14ac:dyDescent="0.35">
      <c r="A90" s="19" t="s">
        <v>566</v>
      </c>
      <c r="B90" s="19" t="s">
        <v>55</v>
      </c>
      <c r="C90" s="20" t="s">
        <v>56</v>
      </c>
      <c r="D90" s="20" t="s">
        <v>252</v>
      </c>
      <c r="E90" s="20" t="s">
        <v>416</v>
      </c>
      <c r="F90" s="19">
        <v>6</v>
      </c>
      <c r="G90" s="20" t="s">
        <v>567</v>
      </c>
      <c r="H90" s="19" t="s">
        <v>400</v>
      </c>
      <c r="I90" s="35"/>
      <c r="J90" s="19" t="s">
        <v>33</v>
      </c>
    </row>
    <row r="91" spans="1:10" ht="18.649999999999999" customHeight="1" x14ac:dyDescent="0.35">
      <c r="A91" s="16" t="s">
        <v>568</v>
      </c>
      <c r="B91" s="16" t="s">
        <v>55</v>
      </c>
      <c r="C91" s="15" t="s">
        <v>56</v>
      </c>
      <c r="D91" s="15" t="s">
        <v>252</v>
      </c>
      <c r="E91" s="15" t="s">
        <v>416</v>
      </c>
      <c r="F91" s="16">
        <v>7</v>
      </c>
      <c r="G91" s="15" t="s">
        <v>569</v>
      </c>
      <c r="H91" s="16" t="s">
        <v>400</v>
      </c>
      <c r="I91" s="35"/>
      <c r="J91" s="16" t="s">
        <v>33</v>
      </c>
    </row>
    <row r="92" spans="1:10" ht="18.649999999999999" customHeight="1" x14ac:dyDescent="0.35">
      <c r="A92" s="19" t="s">
        <v>570</v>
      </c>
      <c r="B92" s="19" t="s">
        <v>55</v>
      </c>
      <c r="C92" s="20" t="s">
        <v>56</v>
      </c>
      <c r="D92" s="20" t="s">
        <v>252</v>
      </c>
      <c r="E92" s="20" t="s">
        <v>395</v>
      </c>
      <c r="F92" s="19">
        <v>1</v>
      </c>
      <c r="G92" s="20" t="s">
        <v>571</v>
      </c>
      <c r="H92" s="19" t="s">
        <v>400</v>
      </c>
      <c r="I92" s="35"/>
      <c r="J92" s="19" t="s">
        <v>33</v>
      </c>
    </row>
    <row r="93" spans="1:10" ht="18.649999999999999" customHeight="1" x14ac:dyDescent="0.35">
      <c r="A93" s="16" t="s">
        <v>572</v>
      </c>
      <c r="B93" s="16" t="s">
        <v>55</v>
      </c>
      <c r="C93" s="15" t="s">
        <v>56</v>
      </c>
      <c r="D93" s="15" t="s">
        <v>252</v>
      </c>
      <c r="E93" s="15" t="s">
        <v>395</v>
      </c>
      <c r="F93" s="16">
        <v>2</v>
      </c>
      <c r="G93" s="15" t="s">
        <v>573</v>
      </c>
      <c r="H93" s="16" t="s">
        <v>400</v>
      </c>
      <c r="I93" s="35"/>
      <c r="J93" s="16" t="s">
        <v>33</v>
      </c>
    </row>
    <row r="94" spans="1:10" ht="18.649999999999999" customHeight="1" x14ac:dyDescent="0.35">
      <c r="A94" s="19" t="s">
        <v>574</v>
      </c>
      <c r="B94" s="19" t="s">
        <v>55</v>
      </c>
      <c r="C94" s="20" t="s">
        <v>56</v>
      </c>
      <c r="D94" s="20" t="s">
        <v>252</v>
      </c>
      <c r="E94" s="20" t="s">
        <v>395</v>
      </c>
      <c r="F94" s="19">
        <v>3</v>
      </c>
      <c r="G94" s="20" t="s">
        <v>575</v>
      </c>
      <c r="H94" s="19" t="s">
        <v>400</v>
      </c>
      <c r="I94" s="35"/>
      <c r="J94" s="19" t="s">
        <v>33</v>
      </c>
    </row>
    <row r="95" spans="1:10" ht="18.649999999999999" customHeight="1" x14ac:dyDescent="0.35">
      <c r="A95" s="16" t="s">
        <v>576</v>
      </c>
      <c r="B95" s="16" t="s">
        <v>55</v>
      </c>
      <c r="C95" s="15" t="s">
        <v>56</v>
      </c>
      <c r="D95" s="15" t="s">
        <v>252</v>
      </c>
      <c r="E95" s="15" t="s">
        <v>395</v>
      </c>
      <c r="F95" s="16">
        <v>4</v>
      </c>
      <c r="G95" s="15" t="s">
        <v>577</v>
      </c>
      <c r="H95" s="16" t="s">
        <v>400</v>
      </c>
      <c r="I95" s="35"/>
      <c r="J95" s="16" t="s">
        <v>33</v>
      </c>
    </row>
    <row r="96" spans="1:10" ht="18.649999999999999" customHeight="1" x14ac:dyDescent="0.35">
      <c r="A96" s="19" t="s">
        <v>578</v>
      </c>
      <c r="B96" s="19" t="s">
        <v>55</v>
      </c>
      <c r="C96" s="20" t="s">
        <v>56</v>
      </c>
      <c r="D96" s="20" t="s">
        <v>252</v>
      </c>
      <c r="E96" s="20" t="s">
        <v>395</v>
      </c>
      <c r="F96" s="19">
        <v>5</v>
      </c>
      <c r="G96" s="20" t="s">
        <v>579</v>
      </c>
      <c r="H96" s="19" t="s">
        <v>400</v>
      </c>
      <c r="I96" s="35"/>
      <c r="J96" s="19" t="s">
        <v>33</v>
      </c>
    </row>
    <row r="97" spans="1:10" ht="18.649999999999999" customHeight="1" x14ac:dyDescent="0.35">
      <c r="A97" s="16" t="s">
        <v>580</v>
      </c>
      <c r="B97" s="16" t="s">
        <v>79</v>
      </c>
      <c r="C97" s="15" t="s">
        <v>80</v>
      </c>
      <c r="D97" s="15" t="s">
        <v>270</v>
      </c>
      <c r="E97" s="15" t="s">
        <v>416</v>
      </c>
      <c r="F97" s="16">
        <v>1</v>
      </c>
      <c r="G97" s="15" t="s">
        <v>581</v>
      </c>
      <c r="H97" s="16" t="s">
        <v>400</v>
      </c>
      <c r="I97" s="35"/>
      <c r="J97" s="16" t="s">
        <v>33</v>
      </c>
    </row>
    <row r="98" spans="1:10" ht="18.649999999999999" customHeight="1" x14ac:dyDescent="0.35">
      <c r="A98" s="19" t="s">
        <v>582</v>
      </c>
      <c r="B98" s="19" t="s">
        <v>79</v>
      </c>
      <c r="C98" s="20" t="s">
        <v>80</v>
      </c>
      <c r="D98" s="20" t="s">
        <v>270</v>
      </c>
      <c r="E98" s="20" t="s">
        <v>416</v>
      </c>
      <c r="F98" s="19">
        <v>2</v>
      </c>
      <c r="G98" s="20" t="s">
        <v>583</v>
      </c>
      <c r="H98" s="19" t="s">
        <v>400</v>
      </c>
      <c r="I98" s="35"/>
      <c r="J98" s="19" t="s">
        <v>33</v>
      </c>
    </row>
    <row r="99" spans="1:10" ht="18.649999999999999" customHeight="1" x14ac:dyDescent="0.35">
      <c r="A99" s="16" t="s">
        <v>584</v>
      </c>
      <c r="B99" s="16" t="s">
        <v>79</v>
      </c>
      <c r="C99" s="15" t="s">
        <v>80</v>
      </c>
      <c r="D99" s="15" t="s">
        <v>270</v>
      </c>
      <c r="E99" s="15" t="s">
        <v>416</v>
      </c>
      <c r="F99" s="16">
        <v>3</v>
      </c>
      <c r="G99" s="15" t="s">
        <v>585</v>
      </c>
      <c r="H99" s="16" t="s">
        <v>400</v>
      </c>
      <c r="I99" s="35"/>
      <c r="J99" s="16" t="s">
        <v>33</v>
      </c>
    </row>
    <row r="100" spans="1:10" ht="18.649999999999999" customHeight="1" x14ac:dyDescent="0.35">
      <c r="A100" s="19" t="s">
        <v>586</v>
      </c>
      <c r="B100" s="19" t="s">
        <v>79</v>
      </c>
      <c r="C100" s="20" t="s">
        <v>80</v>
      </c>
      <c r="D100" s="20" t="s">
        <v>270</v>
      </c>
      <c r="E100" s="20" t="s">
        <v>416</v>
      </c>
      <c r="F100" s="19">
        <v>4</v>
      </c>
      <c r="G100" s="20" t="s">
        <v>587</v>
      </c>
      <c r="H100" s="19" t="s">
        <v>400</v>
      </c>
      <c r="I100" s="35"/>
      <c r="J100" s="19" t="s">
        <v>33</v>
      </c>
    </row>
    <row r="101" spans="1:10" ht="18.649999999999999" customHeight="1" x14ac:dyDescent="0.35">
      <c r="A101" s="16" t="s">
        <v>588</v>
      </c>
      <c r="B101" s="16" t="s">
        <v>79</v>
      </c>
      <c r="C101" s="15" t="s">
        <v>80</v>
      </c>
      <c r="D101" s="15" t="s">
        <v>270</v>
      </c>
      <c r="E101" s="15" t="s">
        <v>416</v>
      </c>
      <c r="F101" s="16">
        <v>5</v>
      </c>
      <c r="G101" s="15" t="s">
        <v>589</v>
      </c>
      <c r="H101" s="16" t="s">
        <v>397</v>
      </c>
      <c r="I101" s="35"/>
      <c r="J101" s="16" t="s">
        <v>33</v>
      </c>
    </row>
    <row r="102" spans="1:10" ht="18.649999999999999" customHeight="1" x14ac:dyDescent="0.35">
      <c r="A102" s="19" t="s">
        <v>590</v>
      </c>
      <c r="B102" s="19" t="s">
        <v>79</v>
      </c>
      <c r="C102" s="20" t="s">
        <v>80</v>
      </c>
      <c r="D102" s="20" t="s">
        <v>270</v>
      </c>
      <c r="E102" s="20" t="s">
        <v>416</v>
      </c>
      <c r="F102" s="19">
        <v>6</v>
      </c>
      <c r="G102" s="20" t="s">
        <v>591</v>
      </c>
      <c r="H102" s="19" t="s">
        <v>400</v>
      </c>
      <c r="I102" s="35"/>
      <c r="J102" s="19" t="s">
        <v>33</v>
      </c>
    </row>
    <row r="103" spans="1:10" ht="18.649999999999999" customHeight="1" x14ac:dyDescent="0.35">
      <c r="A103" s="16" t="s">
        <v>592</v>
      </c>
      <c r="B103" s="16" t="s">
        <v>79</v>
      </c>
      <c r="C103" s="15" t="s">
        <v>80</v>
      </c>
      <c r="D103" s="15" t="s">
        <v>270</v>
      </c>
      <c r="E103" s="15" t="s">
        <v>416</v>
      </c>
      <c r="F103" s="16">
        <v>7</v>
      </c>
      <c r="G103" s="15" t="s">
        <v>593</v>
      </c>
      <c r="H103" s="16" t="s">
        <v>445</v>
      </c>
      <c r="I103" s="35"/>
      <c r="J103" s="16" t="s">
        <v>33</v>
      </c>
    </row>
    <row r="104" spans="1:10" ht="18.649999999999999" customHeight="1" x14ac:dyDescent="0.35">
      <c r="A104" s="19" t="s">
        <v>594</v>
      </c>
      <c r="B104" s="19" t="s">
        <v>79</v>
      </c>
      <c r="C104" s="20" t="s">
        <v>80</v>
      </c>
      <c r="D104" s="20" t="s">
        <v>270</v>
      </c>
      <c r="E104" s="20" t="s">
        <v>416</v>
      </c>
      <c r="F104" s="19">
        <v>8</v>
      </c>
      <c r="G104" s="20" t="s">
        <v>467</v>
      </c>
      <c r="H104" s="19" t="s">
        <v>445</v>
      </c>
      <c r="I104" s="35"/>
      <c r="J104" s="19" t="s">
        <v>33</v>
      </c>
    </row>
    <row r="105" spans="1:10" ht="18.649999999999999" customHeight="1" x14ac:dyDescent="0.35">
      <c r="A105" s="16" t="s">
        <v>595</v>
      </c>
      <c r="B105" s="16" t="s">
        <v>79</v>
      </c>
      <c r="C105" s="15" t="s">
        <v>80</v>
      </c>
      <c r="D105" s="15" t="s">
        <v>270</v>
      </c>
      <c r="E105" s="15" t="s">
        <v>416</v>
      </c>
      <c r="F105" s="16">
        <v>9</v>
      </c>
      <c r="G105" s="15" t="s">
        <v>596</v>
      </c>
      <c r="H105" s="16" t="s">
        <v>445</v>
      </c>
      <c r="I105" s="35"/>
      <c r="J105" s="16" t="s">
        <v>33</v>
      </c>
    </row>
    <row r="106" spans="1:10" ht="18.649999999999999" customHeight="1" x14ac:dyDescent="0.35">
      <c r="A106" s="19" t="s">
        <v>597</v>
      </c>
      <c r="B106" s="19" t="s">
        <v>79</v>
      </c>
      <c r="C106" s="20" t="s">
        <v>80</v>
      </c>
      <c r="D106" s="20" t="s">
        <v>270</v>
      </c>
      <c r="E106" s="20" t="s">
        <v>395</v>
      </c>
      <c r="F106" s="19">
        <v>1</v>
      </c>
      <c r="G106" s="20" t="s">
        <v>598</v>
      </c>
      <c r="H106" s="19" t="s">
        <v>400</v>
      </c>
      <c r="I106" s="35"/>
      <c r="J106" s="19" t="s">
        <v>33</v>
      </c>
    </row>
    <row r="107" spans="1:10" ht="18.649999999999999" customHeight="1" x14ac:dyDescent="0.35">
      <c r="A107" s="16" t="s">
        <v>599</v>
      </c>
      <c r="B107" s="16" t="s">
        <v>79</v>
      </c>
      <c r="C107" s="15" t="s">
        <v>80</v>
      </c>
      <c r="D107" s="15" t="s">
        <v>270</v>
      </c>
      <c r="E107" s="15" t="s">
        <v>395</v>
      </c>
      <c r="F107" s="16">
        <v>2</v>
      </c>
      <c r="G107" s="15" t="s">
        <v>600</v>
      </c>
      <c r="H107" s="16" t="s">
        <v>400</v>
      </c>
      <c r="I107" s="35"/>
      <c r="J107" s="16" t="s">
        <v>33</v>
      </c>
    </row>
    <row r="108" spans="1:10" ht="18.649999999999999" customHeight="1" x14ac:dyDescent="0.35">
      <c r="A108" s="19" t="s">
        <v>601</v>
      </c>
      <c r="B108" s="19" t="s">
        <v>79</v>
      </c>
      <c r="C108" s="20" t="s">
        <v>80</v>
      </c>
      <c r="D108" s="20" t="s">
        <v>270</v>
      </c>
      <c r="E108" s="20" t="s">
        <v>395</v>
      </c>
      <c r="F108" s="19">
        <v>3</v>
      </c>
      <c r="G108" s="20" t="s">
        <v>602</v>
      </c>
      <c r="H108" s="19" t="s">
        <v>400</v>
      </c>
      <c r="I108" s="35"/>
      <c r="J108" s="19" t="s">
        <v>33</v>
      </c>
    </row>
    <row r="109" spans="1:10" ht="18.649999999999999" customHeight="1" x14ac:dyDescent="0.35">
      <c r="A109" s="16" t="s">
        <v>603</v>
      </c>
      <c r="B109" s="16" t="s">
        <v>79</v>
      </c>
      <c r="C109" s="15" t="s">
        <v>80</v>
      </c>
      <c r="D109" s="15" t="s">
        <v>270</v>
      </c>
      <c r="E109" s="15" t="s">
        <v>395</v>
      </c>
      <c r="F109" s="16">
        <v>4</v>
      </c>
      <c r="G109" s="15" t="s">
        <v>604</v>
      </c>
      <c r="H109" s="16" t="s">
        <v>400</v>
      </c>
      <c r="I109" s="35"/>
      <c r="J109" s="16" t="s">
        <v>33</v>
      </c>
    </row>
    <row r="110" spans="1:10" ht="18.649999999999999" customHeight="1" x14ac:dyDescent="0.35">
      <c r="A110" s="19" t="s">
        <v>605</v>
      </c>
      <c r="B110" s="19" t="s">
        <v>79</v>
      </c>
      <c r="C110" s="20" t="s">
        <v>80</v>
      </c>
      <c r="D110" s="20" t="s">
        <v>270</v>
      </c>
      <c r="E110" s="20" t="s">
        <v>395</v>
      </c>
      <c r="F110" s="19">
        <v>5</v>
      </c>
      <c r="G110" s="20" t="s">
        <v>596</v>
      </c>
      <c r="H110" s="19" t="s">
        <v>445</v>
      </c>
      <c r="I110" s="35"/>
      <c r="J110" s="19" t="s">
        <v>33</v>
      </c>
    </row>
    <row r="111" spans="1:10" ht="18.649999999999999" customHeight="1" x14ac:dyDescent="0.35">
      <c r="A111" s="16" t="s">
        <v>606</v>
      </c>
      <c r="B111" s="16" t="s">
        <v>79</v>
      </c>
      <c r="C111" s="15" t="s">
        <v>80</v>
      </c>
      <c r="D111" s="15" t="s">
        <v>270</v>
      </c>
      <c r="E111" s="15" t="s">
        <v>395</v>
      </c>
      <c r="F111" s="16">
        <v>6</v>
      </c>
      <c r="G111" s="15" t="s">
        <v>607</v>
      </c>
      <c r="H111" s="16" t="s">
        <v>400</v>
      </c>
      <c r="I111" s="35"/>
      <c r="J111" s="16" t="s">
        <v>33</v>
      </c>
    </row>
    <row r="112" spans="1:10" ht="18.649999999999999" customHeight="1" x14ac:dyDescent="0.35">
      <c r="A112" s="19" t="s">
        <v>608</v>
      </c>
      <c r="B112" s="19" t="s">
        <v>79</v>
      </c>
      <c r="C112" s="20" t="s">
        <v>80</v>
      </c>
      <c r="D112" s="20" t="s">
        <v>270</v>
      </c>
      <c r="E112" s="20" t="s">
        <v>395</v>
      </c>
      <c r="F112" s="19">
        <v>7</v>
      </c>
      <c r="G112" s="20" t="s">
        <v>609</v>
      </c>
      <c r="H112" s="19" t="s">
        <v>400</v>
      </c>
      <c r="I112" s="35"/>
      <c r="J112" s="19" t="s">
        <v>33</v>
      </c>
    </row>
    <row r="113" spans="1:10" ht="18.649999999999999" customHeight="1" x14ac:dyDescent="0.35">
      <c r="A113" s="16" t="s">
        <v>610</v>
      </c>
      <c r="B113" s="16" t="s">
        <v>79</v>
      </c>
      <c r="C113" s="15" t="s">
        <v>80</v>
      </c>
      <c r="D113" s="15" t="s">
        <v>270</v>
      </c>
      <c r="E113" s="15" t="s">
        <v>395</v>
      </c>
      <c r="F113" s="16">
        <v>8</v>
      </c>
      <c r="G113" s="15" t="s">
        <v>611</v>
      </c>
      <c r="H113" s="16" t="s">
        <v>400</v>
      </c>
      <c r="I113" s="35"/>
      <c r="J113" s="16" t="s">
        <v>33</v>
      </c>
    </row>
    <row r="114" spans="1:10" ht="18.649999999999999" customHeight="1" x14ac:dyDescent="0.35">
      <c r="A114" s="19" t="s">
        <v>612</v>
      </c>
      <c r="B114" s="19" t="s">
        <v>75</v>
      </c>
      <c r="C114" s="20" t="s">
        <v>76</v>
      </c>
      <c r="D114" s="20" t="s">
        <v>285</v>
      </c>
      <c r="E114" s="20" t="s">
        <v>613</v>
      </c>
      <c r="F114" s="19">
        <v>1</v>
      </c>
      <c r="G114" s="20" t="s">
        <v>614</v>
      </c>
      <c r="H114" s="19" t="s">
        <v>397</v>
      </c>
      <c r="I114" s="35"/>
      <c r="J114" s="19" t="s">
        <v>33</v>
      </c>
    </row>
    <row r="115" spans="1:10" ht="18.649999999999999" customHeight="1" x14ac:dyDescent="0.35">
      <c r="A115" s="16" t="s">
        <v>615</v>
      </c>
      <c r="B115" s="16" t="s">
        <v>75</v>
      </c>
      <c r="C115" s="15" t="s">
        <v>76</v>
      </c>
      <c r="D115" s="15" t="s">
        <v>285</v>
      </c>
      <c r="E115" s="15" t="s">
        <v>613</v>
      </c>
      <c r="F115" s="16">
        <v>2</v>
      </c>
      <c r="G115" s="15" t="s">
        <v>616</v>
      </c>
      <c r="H115" s="16" t="s">
        <v>397</v>
      </c>
      <c r="I115" s="35"/>
      <c r="J115" s="16" t="s">
        <v>33</v>
      </c>
    </row>
    <row r="116" spans="1:10" ht="18.649999999999999" customHeight="1" x14ac:dyDescent="0.35">
      <c r="A116" s="19" t="s">
        <v>617</v>
      </c>
      <c r="B116" s="19" t="s">
        <v>75</v>
      </c>
      <c r="C116" s="20" t="s">
        <v>76</v>
      </c>
      <c r="D116" s="20" t="s">
        <v>285</v>
      </c>
      <c r="E116" s="20" t="s">
        <v>613</v>
      </c>
      <c r="F116" s="19">
        <v>3</v>
      </c>
      <c r="G116" s="20" t="s">
        <v>618</v>
      </c>
      <c r="H116" s="19" t="s">
        <v>397</v>
      </c>
      <c r="I116" s="35"/>
      <c r="J116" s="19" t="s">
        <v>33</v>
      </c>
    </row>
    <row r="117" spans="1:10" ht="18.649999999999999" customHeight="1" x14ac:dyDescent="0.35">
      <c r="A117" s="16" t="s">
        <v>619</v>
      </c>
      <c r="B117" s="16" t="s">
        <v>75</v>
      </c>
      <c r="C117" s="15" t="s">
        <v>76</v>
      </c>
      <c r="D117" s="15" t="s">
        <v>285</v>
      </c>
      <c r="E117" s="15" t="s">
        <v>613</v>
      </c>
      <c r="F117" s="16">
        <v>4</v>
      </c>
      <c r="G117" s="15" t="s">
        <v>620</v>
      </c>
      <c r="H117" s="16" t="s">
        <v>414</v>
      </c>
      <c r="I117" s="35"/>
      <c r="J117" s="16" t="s">
        <v>33</v>
      </c>
    </row>
    <row r="118" spans="1:10" ht="18.649999999999999" customHeight="1" x14ac:dyDescent="0.35">
      <c r="A118" s="19" t="s">
        <v>621</v>
      </c>
      <c r="B118" s="19" t="s">
        <v>75</v>
      </c>
      <c r="C118" s="20" t="s">
        <v>76</v>
      </c>
      <c r="D118" s="20" t="s">
        <v>285</v>
      </c>
      <c r="E118" s="20" t="s">
        <v>613</v>
      </c>
      <c r="F118" s="19">
        <v>5</v>
      </c>
      <c r="G118" s="20" t="s">
        <v>622</v>
      </c>
      <c r="H118" s="19" t="s">
        <v>414</v>
      </c>
      <c r="I118" s="35"/>
      <c r="J118" s="19" t="s">
        <v>33</v>
      </c>
    </row>
    <row r="119" spans="1:10" ht="18.649999999999999" customHeight="1" x14ac:dyDescent="0.35">
      <c r="A119" s="16" t="s">
        <v>623</v>
      </c>
      <c r="B119" s="16" t="s">
        <v>75</v>
      </c>
      <c r="C119" s="15" t="s">
        <v>76</v>
      </c>
      <c r="D119" s="15" t="s">
        <v>285</v>
      </c>
      <c r="E119" s="15" t="s">
        <v>624</v>
      </c>
      <c r="F119" s="16">
        <v>1</v>
      </c>
      <c r="G119" s="15" t="s">
        <v>625</v>
      </c>
      <c r="H119" s="16" t="s">
        <v>397</v>
      </c>
      <c r="I119" s="35"/>
      <c r="J119" s="16" t="s">
        <v>33</v>
      </c>
    </row>
    <row r="120" spans="1:10" ht="18.649999999999999" customHeight="1" x14ac:dyDescent="0.35">
      <c r="A120" s="19" t="s">
        <v>626</v>
      </c>
      <c r="B120" s="19" t="s">
        <v>75</v>
      </c>
      <c r="C120" s="20" t="s">
        <v>76</v>
      </c>
      <c r="D120" s="20" t="s">
        <v>285</v>
      </c>
      <c r="E120" s="20" t="s">
        <v>624</v>
      </c>
      <c r="F120" s="19">
        <v>2</v>
      </c>
      <c r="G120" s="20" t="s">
        <v>627</v>
      </c>
      <c r="H120" s="19" t="s">
        <v>397</v>
      </c>
      <c r="I120" s="35"/>
      <c r="J120" s="19" t="s">
        <v>33</v>
      </c>
    </row>
    <row r="121" spans="1:10" ht="18.649999999999999" customHeight="1" x14ac:dyDescent="0.35">
      <c r="A121" s="16" t="s">
        <v>628</v>
      </c>
      <c r="B121" s="16" t="s">
        <v>75</v>
      </c>
      <c r="C121" s="15" t="s">
        <v>76</v>
      </c>
      <c r="D121" s="15" t="s">
        <v>285</v>
      </c>
      <c r="E121" s="15" t="s">
        <v>624</v>
      </c>
      <c r="F121" s="16">
        <v>3</v>
      </c>
      <c r="G121" s="15" t="s">
        <v>629</v>
      </c>
      <c r="H121" s="16" t="s">
        <v>397</v>
      </c>
      <c r="I121" s="35"/>
      <c r="J121" s="16" t="s">
        <v>33</v>
      </c>
    </row>
    <row r="122" spans="1:10" ht="18.649999999999999" customHeight="1" x14ac:dyDescent="0.35">
      <c r="A122" s="19" t="s">
        <v>630</v>
      </c>
      <c r="B122" s="19" t="s">
        <v>75</v>
      </c>
      <c r="C122" s="20" t="s">
        <v>76</v>
      </c>
      <c r="D122" s="20" t="s">
        <v>285</v>
      </c>
      <c r="E122" s="20" t="s">
        <v>624</v>
      </c>
      <c r="F122" s="19">
        <v>4</v>
      </c>
      <c r="G122" s="20" t="s">
        <v>631</v>
      </c>
      <c r="H122" s="19" t="s">
        <v>397</v>
      </c>
      <c r="I122" s="35"/>
      <c r="J122" s="19" t="s">
        <v>33</v>
      </c>
    </row>
    <row r="123" spans="1:10" ht="18.649999999999999" customHeight="1" x14ac:dyDescent="0.35">
      <c r="A123" s="16" t="s">
        <v>632</v>
      </c>
      <c r="B123" s="16" t="s">
        <v>75</v>
      </c>
      <c r="C123" s="15" t="s">
        <v>76</v>
      </c>
      <c r="D123" s="15" t="s">
        <v>285</v>
      </c>
      <c r="E123" s="15" t="s">
        <v>624</v>
      </c>
      <c r="F123" s="16">
        <v>5</v>
      </c>
      <c r="G123" s="15" t="s">
        <v>633</v>
      </c>
      <c r="H123" s="16" t="s">
        <v>397</v>
      </c>
      <c r="I123" s="35"/>
      <c r="J123" s="16" t="s">
        <v>33</v>
      </c>
    </row>
    <row r="124" spans="1:10" ht="18.649999999999999" customHeight="1" x14ac:dyDescent="0.35">
      <c r="A124" s="19" t="s">
        <v>634</v>
      </c>
      <c r="B124" s="19" t="s">
        <v>75</v>
      </c>
      <c r="C124" s="20" t="s">
        <v>76</v>
      </c>
      <c r="D124" s="20" t="s">
        <v>285</v>
      </c>
      <c r="E124" s="20" t="s">
        <v>624</v>
      </c>
      <c r="F124" s="19">
        <v>6</v>
      </c>
      <c r="G124" s="20" t="s">
        <v>635</v>
      </c>
      <c r="H124" s="19" t="s">
        <v>397</v>
      </c>
      <c r="I124" s="35"/>
      <c r="J124" s="19" t="s">
        <v>33</v>
      </c>
    </row>
    <row r="125" spans="1:10" ht="18.649999999999999" customHeight="1" x14ac:dyDescent="0.35">
      <c r="A125" s="16" t="s">
        <v>636</v>
      </c>
      <c r="B125" s="16" t="s">
        <v>75</v>
      </c>
      <c r="C125" s="15" t="s">
        <v>76</v>
      </c>
      <c r="D125" s="15" t="s">
        <v>285</v>
      </c>
      <c r="E125" s="15" t="s">
        <v>624</v>
      </c>
      <c r="F125" s="16">
        <v>7</v>
      </c>
      <c r="G125" s="15" t="s">
        <v>637</v>
      </c>
      <c r="H125" s="16" t="s">
        <v>397</v>
      </c>
      <c r="I125" s="35"/>
      <c r="J125" s="16" t="s">
        <v>33</v>
      </c>
    </row>
    <row r="126" spans="1:10" ht="18.649999999999999" customHeight="1" x14ac:dyDescent="0.35">
      <c r="A126" s="19" t="s">
        <v>638</v>
      </c>
      <c r="B126" s="19" t="s">
        <v>75</v>
      </c>
      <c r="C126" s="20" t="s">
        <v>76</v>
      </c>
      <c r="D126" s="20" t="s">
        <v>285</v>
      </c>
      <c r="E126" s="20" t="s">
        <v>624</v>
      </c>
      <c r="F126" s="19">
        <v>8</v>
      </c>
      <c r="G126" s="20" t="s">
        <v>639</v>
      </c>
      <c r="H126" s="19" t="s">
        <v>397</v>
      </c>
      <c r="I126" s="35"/>
      <c r="J126" s="19" t="s">
        <v>33</v>
      </c>
    </row>
    <row r="127" spans="1:10" ht="18.649999999999999" customHeight="1" x14ac:dyDescent="0.35">
      <c r="A127" s="16" t="s">
        <v>640</v>
      </c>
      <c r="B127" s="16" t="s">
        <v>77</v>
      </c>
      <c r="C127" s="15" t="s">
        <v>78</v>
      </c>
      <c r="D127" s="15" t="s">
        <v>318</v>
      </c>
      <c r="E127" s="15" t="s">
        <v>641</v>
      </c>
      <c r="F127" s="16">
        <v>1</v>
      </c>
      <c r="G127" s="15" t="s">
        <v>642</v>
      </c>
      <c r="H127" s="16" t="s">
        <v>400</v>
      </c>
      <c r="I127" s="35"/>
      <c r="J127" s="16" t="s">
        <v>33</v>
      </c>
    </row>
    <row r="128" spans="1:10" ht="18.649999999999999" customHeight="1" x14ac:dyDescent="0.35">
      <c r="A128" s="19" t="s">
        <v>643</v>
      </c>
      <c r="B128" s="19" t="s">
        <v>77</v>
      </c>
      <c r="C128" s="20" t="s">
        <v>78</v>
      </c>
      <c r="D128" s="20" t="s">
        <v>318</v>
      </c>
      <c r="E128" s="20" t="s">
        <v>641</v>
      </c>
      <c r="F128" s="19">
        <v>2</v>
      </c>
      <c r="G128" s="20" t="s">
        <v>644</v>
      </c>
      <c r="H128" s="19" t="s">
        <v>400</v>
      </c>
      <c r="I128" s="35"/>
      <c r="J128" s="19" t="s">
        <v>33</v>
      </c>
    </row>
    <row r="129" spans="1:10" ht="18.649999999999999" customHeight="1" x14ac:dyDescent="0.35">
      <c r="A129" s="16" t="s">
        <v>645</v>
      </c>
      <c r="B129" s="16" t="s">
        <v>77</v>
      </c>
      <c r="C129" s="15" t="s">
        <v>78</v>
      </c>
      <c r="D129" s="15" t="s">
        <v>318</v>
      </c>
      <c r="E129" s="15" t="s">
        <v>641</v>
      </c>
      <c r="F129" s="16">
        <v>3</v>
      </c>
      <c r="G129" s="15" t="s">
        <v>646</v>
      </c>
      <c r="H129" s="16" t="s">
        <v>400</v>
      </c>
      <c r="I129" s="35"/>
      <c r="J129" s="16" t="s">
        <v>33</v>
      </c>
    </row>
    <row r="130" spans="1:10" ht="18.649999999999999" customHeight="1" x14ac:dyDescent="0.35">
      <c r="A130" s="19" t="s">
        <v>647</v>
      </c>
      <c r="B130" s="19" t="s">
        <v>77</v>
      </c>
      <c r="C130" s="20" t="s">
        <v>78</v>
      </c>
      <c r="D130" s="20" t="s">
        <v>318</v>
      </c>
      <c r="E130" s="20" t="s">
        <v>641</v>
      </c>
      <c r="F130" s="19">
        <v>4</v>
      </c>
      <c r="G130" s="20" t="s">
        <v>648</v>
      </c>
      <c r="H130" s="19" t="s">
        <v>400</v>
      </c>
      <c r="I130" s="35"/>
      <c r="J130" s="19" t="s">
        <v>33</v>
      </c>
    </row>
    <row r="131" spans="1:10" ht="18.649999999999999" customHeight="1" x14ac:dyDescent="0.35">
      <c r="A131" s="16" t="s">
        <v>649</v>
      </c>
      <c r="B131" s="16" t="s">
        <v>77</v>
      </c>
      <c r="C131" s="15" t="s">
        <v>78</v>
      </c>
      <c r="D131" s="15" t="s">
        <v>318</v>
      </c>
      <c r="E131" s="15" t="s">
        <v>641</v>
      </c>
      <c r="F131" s="16">
        <v>5</v>
      </c>
      <c r="G131" s="15" t="s">
        <v>650</v>
      </c>
      <c r="H131" s="16" t="s">
        <v>445</v>
      </c>
      <c r="I131" s="35"/>
      <c r="J131" s="16" t="s">
        <v>33</v>
      </c>
    </row>
    <row r="132" spans="1:10" ht="18.649999999999999" customHeight="1" x14ac:dyDescent="0.35">
      <c r="A132" s="19" t="s">
        <v>651</v>
      </c>
      <c r="B132" s="19" t="s">
        <v>77</v>
      </c>
      <c r="C132" s="20" t="s">
        <v>78</v>
      </c>
      <c r="D132" s="20" t="s">
        <v>318</v>
      </c>
      <c r="E132" s="20" t="s">
        <v>641</v>
      </c>
      <c r="F132" s="19">
        <v>6</v>
      </c>
      <c r="G132" s="20" t="s">
        <v>652</v>
      </c>
      <c r="H132" s="19" t="s">
        <v>400</v>
      </c>
      <c r="I132" s="35"/>
      <c r="J132" s="19" t="s">
        <v>33</v>
      </c>
    </row>
    <row r="133" spans="1:10" ht="18.649999999999999" customHeight="1" x14ac:dyDescent="0.35">
      <c r="A133" s="16" t="s">
        <v>653</v>
      </c>
      <c r="B133" s="16" t="s">
        <v>77</v>
      </c>
      <c r="C133" s="15" t="s">
        <v>78</v>
      </c>
      <c r="D133" s="15" t="s">
        <v>318</v>
      </c>
      <c r="E133" s="15" t="s">
        <v>641</v>
      </c>
      <c r="F133" s="16">
        <v>7</v>
      </c>
      <c r="G133" s="15" t="s">
        <v>654</v>
      </c>
      <c r="H133" s="16" t="s">
        <v>445</v>
      </c>
      <c r="I133" s="35"/>
      <c r="J133" s="16" t="s">
        <v>33</v>
      </c>
    </row>
    <row r="134" spans="1:10" ht="18.649999999999999" customHeight="1" x14ac:dyDescent="0.35">
      <c r="A134" s="19" t="s">
        <v>655</v>
      </c>
      <c r="B134" s="19" t="s">
        <v>77</v>
      </c>
      <c r="C134" s="20" t="s">
        <v>78</v>
      </c>
      <c r="D134" s="20" t="s">
        <v>318</v>
      </c>
      <c r="E134" s="20" t="s">
        <v>641</v>
      </c>
      <c r="F134" s="19">
        <v>8</v>
      </c>
      <c r="G134" s="20" t="s">
        <v>656</v>
      </c>
      <c r="H134" s="19" t="s">
        <v>400</v>
      </c>
      <c r="I134" s="35"/>
      <c r="J134" s="19" t="s">
        <v>33</v>
      </c>
    </row>
    <row r="135" spans="1:10" ht="18.649999999999999" customHeight="1" x14ac:dyDescent="0.35">
      <c r="A135" s="16" t="s">
        <v>657</v>
      </c>
      <c r="B135" s="16" t="s">
        <v>77</v>
      </c>
      <c r="C135" s="15" t="s">
        <v>78</v>
      </c>
      <c r="D135" s="15" t="s">
        <v>318</v>
      </c>
      <c r="E135" s="15" t="s">
        <v>641</v>
      </c>
      <c r="F135" s="16">
        <v>9</v>
      </c>
      <c r="G135" s="15" t="s">
        <v>658</v>
      </c>
      <c r="H135" s="16" t="s">
        <v>400</v>
      </c>
      <c r="I135" s="35"/>
      <c r="J135" s="16" t="s">
        <v>33</v>
      </c>
    </row>
    <row r="136" spans="1:10" ht="18.649999999999999" customHeight="1" x14ac:dyDescent="0.35">
      <c r="A136" s="19" t="s">
        <v>659</v>
      </c>
      <c r="B136" s="19" t="s">
        <v>77</v>
      </c>
      <c r="C136" s="20" t="s">
        <v>78</v>
      </c>
      <c r="D136" s="20" t="s">
        <v>318</v>
      </c>
      <c r="E136" s="20" t="s">
        <v>641</v>
      </c>
      <c r="F136" s="19">
        <v>10</v>
      </c>
      <c r="G136" s="20" t="s">
        <v>660</v>
      </c>
      <c r="H136" s="19" t="s">
        <v>400</v>
      </c>
      <c r="I136" s="35"/>
      <c r="J136" s="19" t="s">
        <v>33</v>
      </c>
    </row>
    <row r="137" spans="1:10" ht="18.649999999999999" customHeight="1" x14ac:dyDescent="0.35">
      <c r="A137" s="16" t="s">
        <v>661</v>
      </c>
      <c r="B137" s="16" t="s">
        <v>77</v>
      </c>
      <c r="C137" s="15" t="s">
        <v>78</v>
      </c>
      <c r="D137" s="15" t="s">
        <v>318</v>
      </c>
      <c r="E137" s="15" t="s">
        <v>641</v>
      </c>
      <c r="F137" s="16">
        <v>11</v>
      </c>
      <c r="G137" s="15" t="s">
        <v>662</v>
      </c>
      <c r="H137" s="16" t="s">
        <v>409</v>
      </c>
      <c r="I137" s="35"/>
      <c r="J137" s="16" t="s">
        <v>33</v>
      </c>
    </row>
    <row r="138" spans="1:10" ht="18.649999999999999" customHeight="1" x14ac:dyDescent="0.35">
      <c r="A138" s="19" t="s">
        <v>663</v>
      </c>
      <c r="B138" s="19" t="s">
        <v>77</v>
      </c>
      <c r="C138" s="20" t="s">
        <v>78</v>
      </c>
      <c r="D138" s="20" t="s">
        <v>318</v>
      </c>
      <c r="E138" s="20" t="s">
        <v>641</v>
      </c>
      <c r="F138" s="19">
        <v>12</v>
      </c>
      <c r="G138" s="20" t="s">
        <v>664</v>
      </c>
      <c r="H138" s="19" t="s">
        <v>400</v>
      </c>
      <c r="I138" s="35"/>
      <c r="J138" s="19" t="s">
        <v>33</v>
      </c>
    </row>
    <row r="139" spans="1:10" ht="18.649999999999999" customHeight="1" x14ac:dyDescent="0.35">
      <c r="A139" s="16" t="s">
        <v>665</v>
      </c>
      <c r="B139" s="16" t="s">
        <v>77</v>
      </c>
      <c r="C139" s="15" t="s">
        <v>78</v>
      </c>
      <c r="D139" s="15" t="s">
        <v>318</v>
      </c>
      <c r="E139" s="15" t="s">
        <v>641</v>
      </c>
      <c r="F139" s="16">
        <v>13</v>
      </c>
      <c r="G139" s="15" t="s">
        <v>666</v>
      </c>
      <c r="H139" s="16" t="s">
        <v>400</v>
      </c>
      <c r="I139" s="35"/>
      <c r="J139" s="16" t="s">
        <v>33</v>
      </c>
    </row>
    <row r="140" spans="1:10" ht="18.649999999999999" customHeight="1" x14ac:dyDescent="0.35">
      <c r="A140" s="19" t="s">
        <v>667</v>
      </c>
      <c r="B140" s="19" t="s">
        <v>77</v>
      </c>
      <c r="C140" s="20" t="s">
        <v>78</v>
      </c>
      <c r="D140" s="20" t="s">
        <v>318</v>
      </c>
      <c r="E140" s="20" t="s">
        <v>641</v>
      </c>
      <c r="F140" s="19">
        <v>14</v>
      </c>
      <c r="G140" s="20" t="s">
        <v>668</v>
      </c>
      <c r="H140" s="19" t="s">
        <v>400</v>
      </c>
      <c r="I140" s="35"/>
      <c r="J140" s="19" t="s">
        <v>33</v>
      </c>
    </row>
    <row r="141" spans="1:10" ht="18.649999999999999" customHeight="1" x14ac:dyDescent="0.35">
      <c r="A141" s="16" t="s">
        <v>669</v>
      </c>
      <c r="B141" s="16" t="s">
        <v>77</v>
      </c>
      <c r="C141" s="15" t="s">
        <v>78</v>
      </c>
      <c r="D141" s="15" t="s">
        <v>318</v>
      </c>
      <c r="E141" s="15" t="s">
        <v>641</v>
      </c>
      <c r="F141" s="16">
        <v>15</v>
      </c>
      <c r="G141" s="15" t="s">
        <v>670</v>
      </c>
      <c r="H141" s="16" t="s">
        <v>400</v>
      </c>
      <c r="I141" s="35"/>
      <c r="J141" s="16" t="s">
        <v>33</v>
      </c>
    </row>
    <row r="142" spans="1:10" ht="18.649999999999999" customHeight="1" x14ac:dyDescent="0.35">
      <c r="A142" s="19" t="s">
        <v>671</v>
      </c>
      <c r="B142" s="19" t="s">
        <v>77</v>
      </c>
      <c r="C142" s="20" t="s">
        <v>78</v>
      </c>
      <c r="D142" s="20" t="s">
        <v>318</v>
      </c>
      <c r="E142" s="20" t="s">
        <v>641</v>
      </c>
      <c r="F142" s="19">
        <v>16</v>
      </c>
      <c r="G142" s="20" t="s">
        <v>672</v>
      </c>
      <c r="H142" s="19" t="s">
        <v>397</v>
      </c>
      <c r="I142" s="35"/>
      <c r="J142" s="19" t="s">
        <v>33</v>
      </c>
    </row>
    <row r="143" spans="1:10" ht="18.649999999999999" customHeight="1" x14ac:dyDescent="0.35">
      <c r="A143" s="16" t="s">
        <v>673</v>
      </c>
      <c r="B143" s="16" t="s">
        <v>77</v>
      </c>
      <c r="C143" s="15" t="s">
        <v>78</v>
      </c>
      <c r="D143" s="15" t="s">
        <v>318</v>
      </c>
      <c r="E143" s="15" t="s">
        <v>641</v>
      </c>
      <c r="F143" s="16">
        <v>17</v>
      </c>
      <c r="G143" s="15" t="s">
        <v>674</v>
      </c>
      <c r="H143" s="16" t="s">
        <v>400</v>
      </c>
      <c r="I143" s="35"/>
      <c r="J143" s="16" t="s">
        <v>33</v>
      </c>
    </row>
    <row r="144" spans="1:10" ht="18.649999999999999" customHeight="1" x14ac:dyDescent="0.35">
      <c r="A144" s="19" t="s">
        <v>675</v>
      </c>
      <c r="B144" s="19" t="s">
        <v>77</v>
      </c>
      <c r="C144" s="20" t="s">
        <v>78</v>
      </c>
      <c r="D144" s="20" t="s">
        <v>318</v>
      </c>
      <c r="E144" s="20" t="s">
        <v>641</v>
      </c>
      <c r="F144" s="19">
        <v>18</v>
      </c>
      <c r="G144" s="20" t="s">
        <v>676</v>
      </c>
      <c r="H144" s="19" t="s">
        <v>400</v>
      </c>
      <c r="I144" s="35"/>
      <c r="J144" s="19" t="s">
        <v>33</v>
      </c>
    </row>
    <row r="145" spans="1:10" ht="18.649999999999999" customHeight="1" x14ac:dyDescent="0.35">
      <c r="A145" s="16" t="s">
        <v>677</v>
      </c>
      <c r="B145" s="16" t="s">
        <v>77</v>
      </c>
      <c r="C145" s="15" t="s">
        <v>78</v>
      </c>
      <c r="D145" s="15" t="s">
        <v>318</v>
      </c>
      <c r="E145" s="15" t="s">
        <v>641</v>
      </c>
      <c r="F145" s="16">
        <v>19</v>
      </c>
      <c r="G145" s="15" t="s">
        <v>678</v>
      </c>
      <c r="H145" s="16" t="s">
        <v>400</v>
      </c>
      <c r="I145" s="35"/>
      <c r="J145" s="16" t="s">
        <v>33</v>
      </c>
    </row>
    <row r="146" spans="1:10" ht="18.649999999999999" customHeight="1" x14ac:dyDescent="0.35">
      <c r="A146" s="19" t="s">
        <v>679</v>
      </c>
      <c r="B146" s="19" t="s">
        <v>77</v>
      </c>
      <c r="C146" s="20" t="s">
        <v>78</v>
      </c>
      <c r="D146" s="20" t="s">
        <v>318</v>
      </c>
      <c r="E146" s="20" t="s">
        <v>641</v>
      </c>
      <c r="F146" s="19">
        <v>20</v>
      </c>
      <c r="G146" s="20" t="s">
        <v>680</v>
      </c>
      <c r="H146" s="19" t="s">
        <v>445</v>
      </c>
      <c r="I146" s="35"/>
      <c r="J146" s="19" t="s">
        <v>33</v>
      </c>
    </row>
    <row r="147" spans="1:10" ht="18.649999999999999" customHeight="1" x14ac:dyDescent="0.35">
      <c r="A147" s="16" t="s">
        <v>681</v>
      </c>
      <c r="B147" s="16" t="s">
        <v>77</v>
      </c>
      <c r="C147" s="15" t="s">
        <v>78</v>
      </c>
      <c r="D147" s="15" t="s">
        <v>329</v>
      </c>
      <c r="E147" s="15" t="s">
        <v>682</v>
      </c>
      <c r="F147" s="16">
        <v>1</v>
      </c>
      <c r="G147" s="15" t="s">
        <v>683</v>
      </c>
      <c r="H147" s="16" t="s">
        <v>400</v>
      </c>
      <c r="I147" s="35"/>
      <c r="J147" s="16" t="s">
        <v>33</v>
      </c>
    </row>
    <row r="148" spans="1:10" ht="18.649999999999999" customHeight="1" x14ac:dyDescent="0.35">
      <c r="A148" s="19" t="s">
        <v>684</v>
      </c>
      <c r="B148" s="19" t="s">
        <v>77</v>
      </c>
      <c r="C148" s="20" t="s">
        <v>78</v>
      </c>
      <c r="D148" s="20" t="s">
        <v>329</v>
      </c>
      <c r="E148" s="20" t="s">
        <v>682</v>
      </c>
      <c r="F148" s="19">
        <v>2</v>
      </c>
      <c r="G148" s="20" t="s">
        <v>685</v>
      </c>
      <c r="H148" s="19" t="s">
        <v>400</v>
      </c>
      <c r="I148" s="35"/>
      <c r="J148" s="19" t="s">
        <v>33</v>
      </c>
    </row>
    <row r="149" spans="1:10" ht="18.649999999999999" customHeight="1" x14ac:dyDescent="0.35">
      <c r="A149" s="16" t="s">
        <v>686</v>
      </c>
      <c r="B149" s="16" t="s">
        <v>77</v>
      </c>
      <c r="C149" s="15" t="s">
        <v>78</v>
      </c>
      <c r="D149" s="15" t="s">
        <v>329</v>
      </c>
      <c r="E149" s="15" t="s">
        <v>682</v>
      </c>
      <c r="F149" s="16">
        <v>3</v>
      </c>
      <c r="G149" s="15" t="s">
        <v>435</v>
      </c>
      <c r="H149" s="16" t="s">
        <v>400</v>
      </c>
      <c r="I149" s="35"/>
      <c r="J149" s="16" t="s">
        <v>33</v>
      </c>
    </row>
    <row r="150" spans="1:10" ht="18.649999999999999" customHeight="1" x14ac:dyDescent="0.35">
      <c r="A150" s="19" t="s">
        <v>687</v>
      </c>
      <c r="B150" s="19" t="s">
        <v>77</v>
      </c>
      <c r="C150" s="20" t="s">
        <v>78</v>
      </c>
      <c r="D150" s="20" t="s">
        <v>329</v>
      </c>
      <c r="E150" s="20" t="s">
        <v>682</v>
      </c>
      <c r="F150" s="19">
        <v>4</v>
      </c>
      <c r="G150" s="20" t="s">
        <v>480</v>
      </c>
      <c r="H150" s="19" t="s">
        <v>409</v>
      </c>
      <c r="I150" s="35"/>
      <c r="J150" s="19" t="s">
        <v>33</v>
      </c>
    </row>
    <row r="151" spans="1:10" ht="18.649999999999999" customHeight="1" x14ac:dyDescent="0.35">
      <c r="A151" s="16" t="s">
        <v>688</v>
      </c>
      <c r="B151" s="16" t="s">
        <v>77</v>
      </c>
      <c r="C151" s="15" t="s">
        <v>78</v>
      </c>
      <c r="D151" s="15" t="s">
        <v>329</v>
      </c>
      <c r="E151" s="15" t="s">
        <v>682</v>
      </c>
      <c r="F151" s="16">
        <v>5</v>
      </c>
      <c r="G151" s="15" t="s">
        <v>689</v>
      </c>
      <c r="H151" s="16" t="s">
        <v>400</v>
      </c>
      <c r="I151" s="35"/>
      <c r="J151" s="16" t="s">
        <v>33</v>
      </c>
    </row>
    <row r="152" spans="1:10" ht="18.649999999999999" customHeight="1" x14ac:dyDescent="0.35">
      <c r="A152" s="19" t="s">
        <v>690</v>
      </c>
      <c r="B152" s="19" t="s">
        <v>77</v>
      </c>
      <c r="C152" s="20" t="s">
        <v>78</v>
      </c>
      <c r="D152" s="20" t="s">
        <v>329</v>
      </c>
      <c r="E152" s="20" t="s">
        <v>682</v>
      </c>
      <c r="F152" s="19">
        <v>6</v>
      </c>
      <c r="G152" s="20" t="s">
        <v>691</v>
      </c>
      <c r="H152" s="19" t="s">
        <v>400</v>
      </c>
      <c r="I152" s="35"/>
      <c r="J152" s="19" t="s">
        <v>33</v>
      </c>
    </row>
    <row r="153" spans="1:10" ht="18.649999999999999" customHeight="1" x14ac:dyDescent="0.35">
      <c r="A153" s="16" t="s">
        <v>692</v>
      </c>
      <c r="B153" s="16" t="s">
        <v>77</v>
      </c>
      <c r="C153" s="15" t="s">
        <v>78</v>
      </c>
      <c r="D153" s="15" t="s">
        <v>329</v>
      </c>
      <c r="E153" s="15" t="s">
        <v>682</v>
      </c>
      <c r="F153" s="16">
        <v>7</v>
      </c>
      <c r="G153" s="15" t="s">
        <v>693</v>
      </c>
      <c r="H153" s="16" t="s">
        <v>400</v>
      </c>
      <c r="I153" s="35"/>
      <c r="J153" s="16" t="s">
        <v>33</v>
      </c>
    </row>
    <row r="154" spans="1:10" ht="18.649999999999999" customHeight="1" x14ac:dyDescent="0.35">
      <c r="A154" s="19" t="s">
        <v>694</v>
      </c>
      <c r="B154" s="19" t="s">
        <v>77</v>
      </c>
      <c r="C154" s="20" t="s">
        <v>78</v>
      </c>
      <c r="D154" s="20" t="s">
        <v>329</v>
      </c>
      <c r="E154" s="20" t="s">
        <v>682</v>
      </c>
      <c r="F154" s="19">
        <v>8</v>
      </c>
      <c r="G154" s="20" t="s">
        <v>695</v>
      </c>
      <c r="H154" s="19" t="s">
        <v>400</v>
      </c>
      <c r="I154" s="35"/>
      <c r="J154" s="19" t="s">
        <v>33</v>
      </c>
    </row>
    <row r="155" spans="1:10" ht="18.649999999999999" customHeight="1" x14ac:dyDescent="0.35">
      <c r="A155" s="16" t="s">
        <v>696</v>
      </c>
      <c r="B155" s="16" t="s">
        <v>77</v>
      </c>
      <c r="C155" s="15" t="s">
        <v>78</v>
      </c>
      <c r="D155" s="15" t="s">
        <v>329</v>
      </c>
      <c r="E155" s="15" t="s">
        <v>682</v>
      </c>
      <c r="F155" s="16">
        <v>9</v>
      </c>
      <c r="G155" s="15" t="s">
        <v>697</v>
      </c>
      <c r="H155" s="16" t="s">
        <v>400</v>
      </c>
      <c r="I155" s="35"/>
      <c r="J155" s="16" t="s">
        <v>33</v>
      </c>
    </row>
    <row r="156" spans="1:10" ht="18.649999999999999" customHeight="1" x14ac:dyDescent="0.35">
      <c r="A156" s="19" t="s">
        <v>698</v>
      </c>
      <c r="B156" s="19" t="s">
        <v>77</v>
      </c>
      <c r="C156" s="20" t="s">
        <v>78</v>
      </c>
      <c r="D156" s="20" t="s">
        <v>329</v>
      </c>
      <c r="E156" s="20" t="s">
        <v>682</v>
      </c>
      <c r="F156" s="19">
        <v>10</v>
      </c>
      <c r="G156" s="20" t="s">
        <v>699</v>
      </c>
      <c r="H156" s="19" t="s">
        <v>400</v>
      </c>
      <c r="I156" s="35"/>
      <c r="J156" s="19" t="s">
        <v>33</v>
      </c>
    </row>
    <row r="157" spans="1:10" ht="18.649999999999999" customHeight="1" x14ac:dyDescent="0.35">
      <c r="A157" s="16" t="s">
        <v>700</v>
      </c>
      <c r="B157" s="16" t="s">
        <v>77</v>
      </c>
      <c r="C157" s="15" t="s">
        <v>78</v>
      </c>
      <c r="D157" s="15" t="s">
        <v>329</v>
      </c>
      <c r="E157" s="15" t="s">
        <v>682</v>
      </c>
      <c r="F157" s="16">
        <v>11</v>
      </c>
      <c r="G157" s="15" t="s">
        <v>701</v>
      </c>
      <c r="H157" s="16" t="s">
        <v>397</v>
      </c>
      <c r="I157" s="35"/>
      <c r="J157" s="16" t="s">
        <v>33</v>
      </c>
    </row>
    <row r="158" spans="1:10" ht="18.649999999999999" customHeight="1" x14ac:dyDescent="0.35">
      <c r="A158" s="19" t="s">
        <v>702</v>
      </c>
      <c r="B158" s="19" t="s">
        <v>77</v>
      </c>
      <c r="C158" s="20" t="s">
        <v>78</v>
      </c>
      <c r="D158" s="20" t="s">
        <v>329</v>
      </c>
      <c r="E158" s="20" t="s">
        <v>682</v>
      </c>
      <c r="F158" s="19">
        <v>12</v>
      </c>
      <c r="G158" s="20" t="s">
        <v>467</v>
      </c>
      <c r="H158" s="19" t="s">
        <v>445</v>
      </c>
      <c r="I158" s="35"/>
      <c r="J158" s="19" t="s">
        <v>33</v>
      </c>
    </row>
    <row r="159" spans="1:10" ht="18.649999999999999" customHeight="1" x14ac:dyDescent="0.35">
      <c r="A159" s="16" t="s">
        <v>703</v>
      </c>
      <c r="B159" s="16" t="s">
        <v>77</v>
      </c>
      <c r="C159" s="15" t="s">
        <v>78</v>
      </c>
      <c r="D159" s="15" t="s">
        <v>329</v>
      </c>
      <c r="E159" s="15" t="s">
        <v>682</v>
      </c>
      <c r="F159" s="16">
        <v>13</v>
      </c>
      <c r="G159" s="15" t="s">
        <v>704</v>
      </c>
      <c r="H159" s="16" t="s">
        <v>400</v>
      </c>
      <c r="I159" s="35"/>
      <c r="J159" s="16" t="s">
        <v>33</v>
      </c>
    </row>
    <row r="160" spans="1:10" ht="18.649999999999999" customHeight="1" x14ac:dyDescent="0.35">
      <c r="A160" s="19" t="s">
        <v>705</v>
      </c>
      <c r="B160" s="19" t="s">
        <v>77</v>
      </c>
      <c r="C160" s="20" t="s">
        <v>78</v>
      </c>
      <c r="D160" s="20" t="s">
        <v>329</v>
      </c>
      <c r="E160" s="20" t="s">
        <v>682</v>
      </c>
      <c r="F160" s="19">
        <v>14</v>
      </c>
      <c r="G160" s="20" t="s">
        <v>706</v>
      </c>
      <c r="H160" s="19" t="s">
        <v>400</v>
      </c>
      <c r="I160" s="35"/>
      <c r="J160" s="19" t="s">
        <v>33</v>
      </c>
    </row>
    <row r="161" spans="1:10" ht="18.649999999999999" customHeight="1" x14ac:dyDescent="0.35">
      <c r="A161" s="16" t="s">
        <v>707</v>
      </c>
      <c r="B161" s="16" t="s">
        <v>77</v>
      </c>
      <c r="C161" s="15" t="s">
        <v>78</v>
      </c>
      <c r="D161" s="15" t="s">
        <v>329</v>
      </c>
      <c r="E161" s="15" t="s">
        <v>682</v>
      </c>
      <c r="F161" s="16">
        <v>15</v>
      </c>
      <c r="G161" s="15" t="s">
        <v>708</v>
      </c>
      <c r="H161" s="16" t="s">
        <v>397</v>
      </c>
      <c r="I161" s="35"/>
      <c r="J161" s="16" t="s">
        <v>33</v>
      </c>
    </row>
    <row r="162" spans="1:10" ht="18.649999999999999" customHeight="1" x14ac:dyDescent="0.35">
      <c r="A162" s="19" t="s">
        <v>709</v>
      </c>
      <c r="B162" s="19" t="s">
        <v>77</v>
      </c>
      <c r="C162" s="20" t="s">
        <v>78</v>
      </c>
      <c r="D162" s="20" t="s">
        <v>329</v>
      </c>
      <c r="E162" s="20" t="s">
        <v>710</v>
      </c>
      <c r="F162" s="19">
        <v>1</v>
      </c>
      <c r="G162" s="20" t="s">
        <v>711</v>
      </c>
      <c r="H162" s="19" t="s">
        <v>400</v>
      </c>
      <c r="I162" s="35"/>
      <c r="J162" s="19" t="s">
        <v>33</v>
      </c>
    </row>
    <row r="163" spans="1:10" ht="18.649999999999999" customHeight="1" x14ac:dyDescent="0.35">
      <c r="A163" s="16" t="s">
        <v>712</v>
      </c>
      <c r="B163" s="16" t="s">
        <v>77</v>
      </c>
      <c r="C163" s="15" t="s">
        <v>78</v>
      </c>
      <c r="D163" s="15" t="s">
        <v>329</v>
      </c>
      <c r="E163" s="15" t="s">
        <v>710</v>
      </c>
      <c r="F163" s="16">
        <v>2</v>
      </c>
      <c r="G163" s="15" t="s">
        <v>713</v>
      </c>
      <c r="H163" s="16" t="s">
        <v>400</v>
      </c>
      <c r="I163" s="35"/>
      <c r="J163" s="16" t="s">
        <v>33</v>
      </c>
    </row>
    <row r="164" spans="1:10" ht="18.649999999999999" customHeight="1" x14ac:dyDescent="0.35">
      <c r="A164" s="19" t="s">
        <v>714</v>
      </c>
      <c r="B164" s="19" t="s">
        <v>77</v>
      </c>
      <c r="C164" s="20" t="s">
        <v>78</v>
      </c>
      <c r="D164" s="20" t="s">
        <v>329</v>
      </c>
      <c r="E164" s="20" t="s">
        <v>710</v>
      </c>
      <c r="F164" s="19">
        <v>3</v>
      </c>
      <c r="G164" s="20" t="s">
        <v>715</v>
      </c>
      <c r="H164" s="19" t="s">
        <v>400</v>
      </c>
      <c r="I164" s="35"/>
      <c r="J164" s="19" t="s">
        <v>33</v>
      </c>
    </row>
    <row r="165" spans="1:10" ht="18.649999999999999" customHeight="1" x14ac:dyDescent="0.35">
      <c r="A165" s="16" t="s">
        <v>716</v>
      </c>
      <c r="B165" s="16" t="s">
        <v>77</v>
      </c>
      <c r="C165" s="15" t="s">
        <v>78</v>
      </c>
      <c r="D165" s="15" t="s">
        <v>329</v>
      </c>
      <c r="E165" s="15" t="s">
        <v>710</v>
      </c>
      <c r="F165" s="16">
        <v>4</v>
      </c>
      <c r="G165" s="15" t="s">
        <v>717</v>
      </c>
      <c r="H165" s="16" t="s">
        <v>400</v>
      </c>
      <c r="I165" s="35"/>
      <c r="J165" s="16" t="s">
        <v>33</v>
      </c>
    </row>
    <row r="166" spans="1:10" ht="18.649999999999999" customHeight="1" x14ac:dyDescent="0.35">
      <c r="A166" s="19" t="s">
        <v>718</v>
      </c>
      <c r="B166" s="19" t="s">
        <v>77</v>
      </c>
      <c r="C166" s="20" t="s">
        <v>78</v>
      </c>
      <c r="D166" s="20" t="s">
        <v>329</v>
      </c>
      <c r="E166" s="20" t="s">
        <v>710</v>
      </c>
      <c r="F166" s="19">
        <v>5</v>
      </c>
      <c r="G166" s="20" t="s">
        <v>719</v>
      </c>
      <c r="H166" s="19" t="s">
        <v>445</v>
      </c>
      <c r="I166" s="35"/>
      <c r="J166" s="19" t="s">
        <v>33</v>
      </c>
    </row>
    <row r="167" spans="1:10" ht="18.649999999999999" customHeight="1" x14ac:dyDescent="0.35">
      <c r="A167" s="16" t="s">
        <v>720</v>
      </c>
      <c r="B167" s="16" t="s">
        <v>77</v>
      </c>
      <c r="C167" s="15" t="s">
        <v>78</v>
      </c>
      <c r="D167" s="15" t="s">
        <v>329</v>
      </c>
      <c r="E167" s="15" t="s">
        <v>710</v>
      </c>
      <c r="F167" s="16">
        <v>6</v>
      </c>
      <c r="G167" s="15" t="s">
        <v>721</v>
      </c>
      <c r="H167" s="16" t="s">
        <v>400</v>
      </c>
      <c r="I167" s="35"/>
      <c r="J167" s="16" t="s">
        <v>33</v>
      </c>
    </row>
    <row r="168" spans="1:10" ht="18.649999999999999" customHeight="1" x14ac:dyDescent="0.35">
      <c r="A168" s="19" t="s">
        <v>722</v>
      </c>
      <c r="B168" s="19" t="s">
        <v>77</v>
      </c>
      <c r="C168" s="20" t="s">
        <v>78</v>
      </c>
      <c r="D168" s="20" t="s">
        <v>329</v>
      </c>
      <c r="E168" s="20" t="s">
        <v>710</v>
      </c>
      <c r="F168" s="19">
        <v>7</v>
      </c>
      <c r="G168" s="20" t="s">
        <v>723</v>
      </c>
      <c r="H168" s="19" t="s">
        <v>400</v>
      </c>
      <c r="I168" s="35"/>
      <c r="J168" s="19" t="s">
        <v>33</v>
      </c>
    </row>
    <row r="169" spans="1:10" ht="18.649999999999999" customHeight="1" x14ac:dyDescent="0.35">
      <c r="A169" s="16" t="s">
        <v>724</v>
      </c>
      <c r="B169" s="16" t="s">
        <v>77</v>
      </c>
      <c r="C169" s="15" t="s">
        <v>78</v>
      </c>
      <c r="D169" s="15" t="s">
        <v>329</v>
      </c>
      <c r="E169" s="15" t="s">
        <v>710</v>
      </c>
      <c r="F169" s="16">
        <v>8</v>
      </c>
      <c r="G169" s="15" t="s">
        <v>725</v>
      </c>
      <c r="H169" s="16" t="s">
        <v>409</v>
      </c>
      <c r="I169" s="35"/>
      <c r="J169" s="16" t="s">
        <v>33</v>
      </c>
    </row>
    <row r="170" spans="1:10" ht="18.649999999999999" customHeight="1" x14ac:dyDescent="0.35">
      <c r="A170" s="19" t="s">
        <v>726</v>
      </c>
      <c r="B170" s="19" t="s">
        <v>77</v>
      </c>
      <c r="C170" s="20" t="s">
        <v>78</v>
      </c>
      <c r="D170" s="20" t="s">
        <v>329</v>
      </c>
      <c r="E170" s="20" t="s">
        <v>710</v>
      </c>
      <c r="F170" s="19">
        <v>9</v>
      </c>
      <c r="G170" s="20" t="s">
        <v>727</v>
      </c>
      <c r="H170" s="19" t="s">
        <v>397</v>
      </c>
      <c r="I170" s="35"/>
      <c r="J170" s="19" t="s">
        <v>33</v>
      </c>
    </row>
    <row r="171" spans="1:10" ht="18.649999999999999" customHeight="1" x14ac:dyDescent="0.35">
      <c r="A171" s="16" t="s">
        <v>728</v>
      </c>
      <c r="B171" s="16" t="s">
        <v>77</v>
      </c>
      <c r="C171" s="15" t="s">
        <v>78</v>
      </c>
      <c r="D171" s="15" t="s">
        <v>329</v>
      </c>
      <c r="E171" s="15" t="s">
        <v>710</v>
      </c>
      <c r="F171" s="16">
        <v>10</v>
      </c>
      <c r="G171" s="15" t="s">
        <v>729</v>
      </c>
      <c r="H171" s="16" t="s">
        <v>397</v>
      </c>
      <c r="I171" s="35"/>
      <c r="J171" s="16" t="s">
        <v>33</v>
      </c>
    </row>
    <row r="172" spans="1:10" ht="18.649999999999999" customHeight="1" x14ac:dyDescent="0.35">
      <c r="A172" s="19" t="s">
        <v>730</v>
      </c>
      <c r="B172" s="19" t="s">
        <v>77</v>
      </c>
      <c r="C172" s="20" t="s">
        <v>78</v>
      </c>
      <c r="D172" s="20" t="s">
        <v>329</v>
      </c>
      <c r="E172" s="20" t="s">
        <v>710</v>
      </c>
      <c r="F172" s="19">
        <v>11</v>
      </c>
      <c r="G172" s="20" t="s">
        <v>731</v>
      </c>
      <c r="H172" s="19" t="s">
        <v>400</v>
      </c>
      <c r="I172" s="35"/>
      <c r="J172" s="19" t="s">
        <v>33</v>
      </c>
    </row>
    <row r="173" spans="1:10" ht="18.649999999999999" customHeight="1" x14ac:dyDescent="0.35">
      <c r="A173" s="16" t="s">
        <v>732</v>
      </c>
      <c r="B173" s="16" t="s">
        <v>83</v>
      </c>
      <c r="C173" s="15" t="s">
        <v>84</v>
      </c>
      <c r="D173" s="15" t="s">
        <v>343</v>
      </c>
      <c r="E173" s="15" t="s">
        <v>733</v>
      </c>
      <c r="F173" s="16">
        <v>1</v>
      </c>
      <c r="G173" s="15" t="s">
        <v>734</v>
      </c>
      <c r="H173" s="16" t="s">
        <v>397</v>
      </c>
      <c r="I173" s="35"/>
      <c r="J173" s="16" t="s">
        <v>33</v>
      </c>
    </row>
    <row r="174" spans="1:10" ht="18.649999999999999" customHeight="1" x14ac:dyDescent="0.35">
      <c r="A174" s="19" t="s">
        <v>735</v>
      </c>
      <c r="B174" s="19" t="s">
        <v>83</v>
      </c>
      <c r="C174" s="20" t="s">
        <v>84</v>
      </c>
      <c r="D174" s="20" t="s">
        <v>343</v>
      </c>
      <c r="E174" s="20" t="s">
        <v>733</v>
      </c>
      <c r="F174" s="19">
        <v>2</v>
      </c>
      <c r="G174" s="20" t="s">
        <v>736</v>
      </c>
      <c r="H174" s="19" t="s">
        <v>400</v>
      </c>
      <c r="I174" s="35"/>
      <c r="J174" s="19" t="s">
        <v>33</v>
      </c>
    </row>
    <row r="175" spans="1:10" ht="18.649999999999999" customHeight="1" x14ac:dyDescent="0.35">
      <c r="A175" s="16" t="s">
        <v>737</v>
      </c>
      <c r="B175" s="16" t="s">
        <v>83</v>
      </c>
      <c r="C175" s="15" t="s">
        <v>84</v>
      </c>
      <c r="D175" s="15" t="s">
        <v>343</v>
      </c>
      <c r="E175" s="15" t="s">
        <v>733</v>
      </c>
      <c r="F175" s="16">
        <v>3</v>
      </c>
      <c r="G175" s="15" t="s">
        <v>738</v>
      </c>
      <c r="H175" s="16" t="s">
        <v>397</v>
      </c>
      <c r="I175" s="35"/>
      <c r="J175" s="16" t="s">
        <v>33</v>
      </c>
    </row>
    <row r="176" spans="1:10" ht="18.649999999999999" customHeight="1" x14ac:dyDescent="0.35">
      <c r="A176" s="19" t="s">
        <v>739</v>
      </c>
      <c r="B176" s="19" t="s">
        <v>83</v>
      </c>
      <c r="C176" s="20" t="s">
        <v>84</v>
      </c>
      <c r="D176" s="20" t="s">
        <v>343</v>
      </c>
      <c r="E176" s="20" t="s">
        <v>733</v>
      </c>
      <c r="F176" s="19">
        <v>4</v>
      </c>
      <c r="G176" s="20" t="s">
        <v>740</v>
      </c>
      <c r="H176" s="19" t="s">
        <v>445</v>
      </c>
      <c r="I176" s="35"/>
      <c r="J176" s="19" t="s">
        <v>33</v>
      </c>
    </row>
    <row r="177" spans="1:10" ht="18.649999999999999" customHeight="1" x14ac:dyDescent="0.35">
      <c r="A177" s="16" t="s">
        <v>741</v>
      </c>
      <c r="B177" s="16" t="s">
        <v>83</v>
      </c>
      <c r="C177" s="15" t="s">
        <v>84</v>
      </c>
      <c r="D177" s="15" t="s">
        <v>343</v>
      </c>
      <c r="E177" s="15" t="s">
        <v>733</v>
      </c>
      <c r="F177" s="16">
        <v>5</v>
      </c>
      <c r="G177" s="15" t="s">
        <v>742</v>
      </c>
      <c r="H177" s="16" t="s">
        <v>397</v>
      </c>
      <c r="I177" s="35"/>
      <c r="J177" s="16" t="s">
        <v>33</v>
      </c>
    </row>
    <row r="178" spans="1:10" ht="18.649999999999999" customHeight="1" x14ac:dyDescent="0.35">
      <c r="A178" s="19" t="s">
        <v>743</v>
      </c>
      <c r="B178" s="19" t="s">
        <v>83</v>
      </c>
      <c r="C178" s="20" t="s">
        <v>84</v>
      </c>
      <c r="D178" s="20" t="s">
        <v>343</v>
      </c>
      <c r="E178" s="20" t="s">
        <v>733</v>
      </c>
      <c r="F178" s="19">
        <v>6</v>
      </c>
      <c r="G178" s="20" t="s">
        <v>744</v>
      </c>
      <c r="H178" s="19" t="s">
        <v>400</v>
      </c>
      <c r="I178" s="35"/>
      <c r="J178" s="19" t="s">
        <v>33</v>
      </c>
    </row>
    <row r="179" spans="1:10" ht="18.649999999999999" customHeight="1" x14ac:dyDescent="0.35">
      <c r="A179" s="16" t="s">
        <v>745</v>
      </c>
      <c r="B179" s="16" t="s">
        <v>83</v>
      </c>
      <c r="C179" s="15" t="s">
        <v>84</v>
      </c>
      <c r="D179" s="15" t="s">
        <v>343</v>
      </c>
      <c r="E179" s="15" t="s">
        <v>733</v>
      </c>
      <c r="F179" s="16">
        <v>7</v>
      </c>
      <c r="G179" s="15" t="s">
        <v>746</v>
      </c>
      <c r="H179" s="16" t="s">
        <v>397</v>
      </c>
      <c r="I179" s="35"/>
      <c r="J179" s="16" t="s">
        <v>33</v>
      </c>
    </row>
    <row r="180" spans="1:10" ht="18.649999999999999" customHeight="1" x14ac:dyDescent="0.35">
      <c r="A180" s="19" t="s">
        <v>747</v>
      </c>
      <c r="B180" s="19" t="s">
        <v>83</v>
      </c>
      <c r="C180" s="20" t="s">
        <v>84</v>
      </c>
      <c r="D180" s="20" t="s">
        <v>343</v>
      </c>
      <c r="E180" s="20" t="s">
        <v>733</v>
      </c>
      <c r="F180" s="19">
        <v>8</v>
      </c>
      <c r="G180" s="20" t="s">
        <v>748</v>
      </c>
      <c r="H180" s="19" t="s">
        <v>400</v>
      </c>
      <c r="I180" s="35"/>
      <c r="J180" s="19" t="s">
        <v>33</v>
      </c>
    </row>
    <row r="181" spans="1:10" ht="18.649999999999999" customHeight="1" x14ac:dyDescent="0.35">
      <c r="A181" s="16" t="s">
        <v>749</v>
      </c>
      <c r="B181" s="16" t="s">
        <v>83</v>
      </c>
      <c r="C181" s="15" t="s">
        <v>84</v>
      </c>
      <c r="D181" s="15" t="s">
        <v>343</v>
      </c>
      <c r="E181" s="15" t="s">
        <v>733</v>
      </c>
      <c r="F181" s="16">
        <v>9</v>
      </c>
      <c r="G181" s="15" t="s">
        <v>750</v>
      </c>
      <c r="H181" s="16" t="s">
        <v>397</v>
      </c>
      <c r="I181" s="35"/>
      <c r="J181" s="16" t="s">
        <v>33</v>
      </c>
    </row>
    <row r="182" spans="1:10" ht="18.649999999999999" customHeight="1" x14ac:dyDescent="0.35">
      <c r="A182" s="19" t="s">
        <v>751</v>
      </c>
      <c r="B182" s="19" t="s">
        <v>83</v>
      </c>
      <c r="C182" s="20" t="s">
        <v>84</v>
      </c>
      <c r="D182" s="20" t="s">
        <v>343</v>
      </c>
      <c r="E182" s="20" t="s">
        <v>733</v>
      </c>
      <c r="F182" s="19">
        <v>10</v>
      </c>
      <c r="G182" s="20" t="s">
        <v>752</v>
      </c>
      <c r="H182" s="19" t="s">
        <v>409</v>
      </c>
      <c r="I182" s="35"/>
      <c r="J182" s="19" t="s">
        <v>33</v>
      </c>
    </row>
    <row r="183" spans="1:10" ht="18.649999999999999" customHeight="1" x14ac:dyDescent="0.35">
      <c r="A183" s="16" t="s">
        <v>753</v>
      </c>
      <c r="B183" s="16" t="s">
        <v>83</v>
      </c>
      <c r="C183" s="15" t="s">
        <v>84</v>
      </c>
      <c r="D183" s="15" t="s">
        <v>343</v>
      </c>
      <c r="E183" s="15" t="s">
        <v>733</v>
      </c>
      <c r="F183" s="16">
        <v>11</v>
      </c>
      <c r="G183" s="15" t="s">
        <v>754</v>
      </c>
      <c r="H183" s="16" t="s">
        <v>397</v>
      </c>
      <c r="I183" s="35"/>
      <c r="J183" s="16" t="s">
        <v>33</v>
      </c>
    </row>
    <row r="184" spans="1:10" ht="18.649999999999999" customHeight="1" x14ac:dyDescent="0.35">
      <c r="A184" s="19" t="s">
        <v>755</v>
      </c>
      <c r="B184" s="19" t="s">
        <v>83</v>
      </c>
      <c r="C184" s="20" t="s">
        <v>84</v>
      </c>
      <c r="D184" s="20" t="s">
        <v>343</v>
      </c>
      <c r="E184" s="20" t="s">
        <v>733</v>
      </c>
      <c r="F184" s="19">
        <v>12</v>
      </c>
      <c r="G184" s="20" t="s">
        <v>756</v>
      </c>
      <c r="H184" s="19" t="s">
        <v>440</v>
      </c>
      <c r="I184" s="35"/>
      <c r="J184" s="19" t="s">
        <v>33</v>
      </c>
    </row>
    <row r="185" spans="1:10" ht="18.649999999999999" customHeight="1" x14ac:dyDescent="0.35">
      <c r="A185" s="16" t="s">
        <v>757</v>
      </c>
      <c r="B185" s="16" t="s">
        <v>83</v>
      </c>
      <c r="C185" s="15" t="s">
        <v>84</v>
      </c>
      <c r="D185" s="15" t="s">
        <v>343</v>
      </c>
      <c r="E185" s="15" t="s">
        <v>733</v>
      </c>
      <c r="F185" s="16">
        <v>13</v>
      </c>
      <c r="G185" s="15" t="s">
        <v>758</v>
      </c>
      <c r="H185" s="16" t="s">
        <v>397</v>
      </c>
      <c r="I185" s="35"/>
      <c r="J185" s="16" t="s">
        <v>33</v>
      </c>
    </row>
    <row r="186" spans="1:10" ht="18.649999999999999" customHeight="1" x14ac:dyDescent="0.35">
      <c r="A186" s="19" t="s">
        <v>759</v>
      </c>
      <c r="B186" s="19" t="s">
        <v>83</v>
      </c>
      <c r="C186" s="20" t="s">
        <v>84</v>
      </c>
      <c r="D186" s="20" t="s">
        <v>343</v>
      </c>
      <c r="E186" s="20" t="s">
        <v>733</v>
      </c>
      <c r="F186" s="19">
        <v>14</v>
      </c>
      <c r="G186" s="20" t="s">
        <v>760</v>
      </c>
      <c r="H186" s="19" t="s">
        <v>397</v>
      </c>
      <c r="I186" s="35"/>
      <c r="J186" s="19" t="s">
        <v>33</v>
      </c>
    </row>
    <row r="187" spans="1:10" ht="18.649999999999999" customHeight="1" x14ac:dyDescent="0.35">
      <c r="A187" s="16" t="s">
        <v>761</v>
      </c>
      <c r="B187" s="16" t="s">
        <v>83</v>
      </c>
      <c r="C187" s="15" t="s">
        <v>84</v>
      </c>
      <c r="D187" s="15" t="s">
        <v>343</v>
      </c>
      <c r="E187" s="15" t="s">
        <v>733</v>
      </c>
      <c r="F187" s="16">
        <v>15</v>
      </c>
      <c r="G187" s="15" t="s">
        <v>762</v>
      </c>
      <c r="H187" s="16" t="s">
        <v>397</v>
      </c>
      <c r="I187" s="35"/>
      <c r="J187" s="16" t="s">
        <v>33</v>
      </c>
    </row>
    <row r="188" spans="1:10" ht="18.649999999999999" customHeight="1" x14ac:dyDescent="0.35">
      <c r="A188" s="19" t="s">
        <v>763</v>
      </c>
      <c r="B188" s="19" t="s">
        <v>83</v>
      </c>
      <c r="C188" s="20" t="s">
        <v>84</v>
      </c>
      <c r="D188" s="20" t="s">
        <v>343</v>
      </c>
      <c r="E188" s="20" t="s">
        <v>733</v>
      </c>
      <c r="F188" s="19">
        <v>16</v>
      </c>
      <c r="G188" s="20" t="s">
        <v>764</v>
      </c>
      <c r="H188" s="19" t="s">
        <v>400</v>
      </c>
      <c r="I188" s="35"/>
      <c r="J188" s="19" t="s">
        <v>33</v>
      </c>
    </row>
    <row r="189" spans="1:10" ht="18.649999999999999" customHeight="1" x14ac:dyDescent="0.35">
      <c r="A189" s="16" t="s">
        <v>765</v>
      </c>
      <c r="B189" s="16" t="s">
        <v>83</v>
      </c>
      <c r="C189" s="15" t="s">
        <v>84</v>
      </c>
      <c r="D189" s="15" t="s">
        <v>343</v>
      </c>
      <c r="E189" s="15" t="s">
        <v>766</v>
      </c>
      <c r="F189" s="16">
        <v>1</v>
      </c>
      <c r="G189" s="15" t="s">
        <v>734</v>
      </c>
      <c r="H189" s="16" t="s">
        <v>397</v>
      </c>
      <c r="I189" s="35"/>
      <c r="J189" s="16" t="s">
        <v>33</v>
      </c>
    </row>
    <row r="190" spans="1:10" ht="18.649999999999999" customHeight="1" x14ac:dyDescent="0.35">
      <c r="A190" s="19" t="s">
        <v>767</v>
      </c>
      <c r="B190" s="19" t="s">
        <v>83</v>
      </c>
      <c r="C190" s="20" t="s">
        <v>84</v>
      </c>
      <c r="D190" s="20" t="s">
        <v>343</v>
      </c>
      <c r="E190" s="20" t="s">
        <v>766</v>
      </c>
      <c r="F190" s="19">
        <v>2</v>
      </c>
      <c r="G190" s="20" t="s">
        <v>768</v>
      </c>
      <c r="H190" s="19" t="s">
        <v>397</v>
      </c>
      <c r="I190" s="35"/>
      <c r="J190" s="19" t="s">
        <v>33</v>
      </c>
    </row>
    <row r="191" spans="1:10" ht="18.649999999999999" customHeight="1" x14ac:dyDescent="0.35">
      <c r="A191" s="16" t="s">
        <v>769</v>
      </c>
      <c r="B191" s="16" t="s">
        <v>83</v>
      </c>
      <c r="C191" s="15" t="s">
        <v>84</v>
      </c>
      <c r="D191" s="15" t="s">
        <v>343</v>
      </c>
      <c r="E191" s="15" t="s">
        <v>766</v>
      </c>
      <c r="F191" s="16">
        <v>3</v>
      </c>
      <c r="G191" s="15" t="s">
        <v>738</v>
      </c>
      <c r="H191" s="16" t="s">
        <v>397</v>
      </c>
      <c r="I191" s="35"/>
      <c r="J191" s="16" t="s">
        <v>33</v>
      </c>
    </row>
    <row r="192" spans="1:10" ht="18.649999999999999" customHeight="1" x14ac:dyDescent="0.35">
      <c r="A192" s="19" t="s">
        <v>770</v>
      </c>
      <c r="B192" s="19" t="s">
        <v>83</v>
      </c>
      <c r="C192" s="20" t="s">
        <v>84</v>
      </c>
      <c r="D192" s="20" t="s">
        <v>343</v>
      </c>
      <c r="E192" s="20" t="s">
        <v>766</v>
      </c>
      <c r="F192" s="19">
        <v>4</v>
      </c>
      <c r="G192" s="20" t="s">
        <v>771</v>
      </c>
      <c r="H192" s="19" t="s">
        <v>400</v>
      </c>
      <c r="I192" s="35"/>
      <c r="J192" s="19" t="s">
        <v>33</v>
      </c>
    </row>
    <row r="193" spans="1:10" ht="18.649999999999999" customHeight="1" x14ac:dyDescent="0.35">
      <c r="A193" s="16" t="s">
        <v>772</v>
      </c>
      <c r="B193" s="16" t="s">
        <v>83</v>
      </c>
      <c r="C193" s="15" t="s">
        <v>84</v>
      </c>
      <c r="D193" s="15" t="s">
        <v>343</v>
      </c>
      <c r="E193" s="15" t="s">
        <v>766</v>
      </c>
      <c r="F193" s="16">
        <v>5</v>
      </c>
      <c r="G193" s="15" t="s">
        <v>742</v>
      </c>
      <c r="H193" s="16" t="s">
        <v>397</v>
      </c>
      <c r="I193" s="35"/>
      <c r="J193" s="16" t="s">
        <v>33</v>
      </c>
    </row>
    <row r="194" spans="1:10" ht="18.649999999999999" customHeight="1" x14ac:dyDescent="0.35">
      <c r="A194" s="19" t="s">
        <v>773</v>
      </c>
      <c r="B194" s="19" t="s">
        <v>83</v>
      </c>
      <c r="C194" s="20" t="s">
        <v>84</v>
      </c>
      <c r="D194" s="20" t="s">
        <v>343</v>
      </c>
      <c r="E194" s="20" t="s">
        <v>766</v>
      </c>
      <c r="F194" s="19">
        <v>6</v>
      </c>
      <c r="G194" s="20" t="s">
        <v>774</v>
      </c>
      <c r="H194" s="19" t="s">
        <v>397</v>
      </c>
      <c r="I194" s="35"/>
      <c r="J194" s="19" t="s">
        <v>33</v>
      </c>
    </row>
    <row r="195" spans="1:10" ht="18.649999999999999" customHeight="1" x14ac:dyDescent="0.35">
      <c r="A195" s="16" t="s">
        <v>775</v>
      </c>
      <c r="B195" s="16" t="s">
        <v>83</v>
      </c>
      <c r="C195" s="15" t="s">
        <v>84</v>
      </c>
      <c r="D195" s="15" t="s">
        <v>343</v>
      </c>
      <c r="E195" s="15" t="s">
        <v>766</v>
      </c>
      <c r="F195" s="16">
        <v>7</v>
      </c>
      <c r="G195" s="15" t="s">
        <v>746</v>
      </c>
      <c r="H195" s="16" t="s">
        <v>397</v>
      </c>
      <c r="I195" s="35"/>
      <c r="J195" s="16" t="s">
        <v>33</v>
      </c>
    </row>
    <row r="196" spans="1:10" ht="18.649999999999999" customHeight="1" x14ac:dyDescent="0.35">
      <c r="A196" s="19" t="s">
        <v>776</v>
      </c>
      <c r="B196" s="19" t="s">
        <v>83</v>
      </c>
      <c r="C196" s="20" t="s">
        <v>84</v>
      </c>
      <c r="D196" s="20" t="s">
        <v>343</v>
      </c>
      <c r="E196" s="20" t="s">
        <v>766</v>
      </c>
      <c r="F196" s="19">
        <v>8</v>
      </c>
      <c r="G196" s="20" t="s">
        <v>777</v>
      </c>
      <c r="H196" s="19" t="s">
        <v>397</v>
      </c>
      <c r="I196" s="35"/>
      <c r="J196" s="19" t="s">
        <v>33</v>
      </c>
    </row>
    <row r="197" spans="1:10" ht="18.649999999999999" customHeight="1" x14ac:dyDescent="0.35">
      <c r="A197" s="16" t="s">
        <v>778</v>
      </c>
      <c r="B197" s="16" t="s">
        <v>83</v>
      </c>
      <c r="C197" s="15" t="s">
        <v>84</v>
      </c>
      <c r="D197" s="15" t="s">
        <v>343</v>
      </c>
      <c r="E197" s="15" t="s">
        <v>766</v>
      </c>
      <c r="F197" s="16">
        <v>9</v>
      </c>
      <c r="G197" s="15" t="s">
        <v>779</v>
      </c>
      <c r="H197" s="16" t="s">
        <v>397</v>
      </c>
      <c r="I197" s="35"/>
      <c r="J197" s="16" t="s">
        <v>33</v>
      </c>
    </row>
    <row r="198" spans="1:10" ht="18.649999999999999" customHeight="1" x14ac:dyDescent="0.35">
      <c r="A198" s="19" t="s">
        <v>780</v>
      </c>
      <c r="B198" s="19" t="s">
        <v>83</v>
      </c>
      <c r="C198" s="20" t="s">
        <v>84</v>
      </c>
      <c r="D198" s="20" t="s">
        <v>343</v>
      </c>
      <c r="E198" s="20" t="s">
        <v>781</v>
      </c>
      <c r="F198" s="19">
        <v>1</v>
      </c>
      <c r="G198" s="20" t="s">
        <v>734</v>
      </c>
      <c r="H198" s="19" t="s">
        <v>397</v>
      </c>
      <c r="I198" s="35"/>
      <c r="J198" s="19" t="s">
        <v>33</v>
      </c>
    </row>
    <row r="199" spans="1:10" ht="18.649999999999999" customHeight="1" x14ac:dyDescent="0.35">
      <c r="A199" s="16" t="s">
        <v>782</v>
      </c>
      <c r="B199" s="16" t="s">
        <v>83</v>
      </c>
      <c r="C199" s="15" t="s">
        <v>84</v>
      </c>
      <c r="D199" s="15" t="s">
        <v>343</v>
      </c>
      <c r="E199" s="15" t="s">
        <v>781</v>
      </c>
      <c r="F199" s="16">
        <v>2</v>
      </c>
      <c r="G199" s="15" t="s">
        <v>515</v>
      </c>
      <c r="H199" s="16" t="s">
        <v>400</v>
      </c>
      <c r="I199" s="35"/>
      <c r="J199" s="16" t="s">
        <v>33</v>
      </c>
    </row>
    <row r="200" spans="1:10" ht="18.649999999999999" customHeight="1" x14ac:dyDescent="0.35">
      <c r="A200" s="19" t="s">
        <v>783</v>
      </c>
      <c r="B200" s="19" t="s">
        <v>83</v>
      </c>
      <c r="C200" s="20" t="s">
        <v>84</v>
      </c>
      <c r="D200" s="20" t="s">
        <v>343</v>
      </c>
      <c r="E200" s="20" t="s">
        <v>781</v>
      </c>
      <c r="F200" s="19">
        <v>3</v>
      </c>
      <c r="G200" s="20" t="s">
        <v>738</v>
      </c>
      <c r="H200" s="19" t="s">
        <v>397</v>
      </c>
      <c r="I200" s="35"/>
      <c r="J200" s="19" t="s">
        <v>33</v>
      </c>
    </row>
    <row r="201" spans="1:10" ht="18.649999999999999" customHeight="1" x14ac:dyDescent="0.35">
      <c r="A201" s="16" t="s">
        <v>784</v>
      </c>
      <c r="B201" s="16" t="s">
        <v>83</v>
      </c>
      <c r="C201" s="15" t="s">
        <v>84</v>
      </c>
      <c r="D201" s="15" t="s">
        <v>343</v>
      </c>
      <c r="E201" s="15" t="s">
        <v>781</v>
      </c>
      <c r="F201" s="16">
        <v>4</v>
      </c>
      <c r="G201" s="15" t="s">
        <v>785</v>
      </c>
      <c r="H201" s="16" t="s">
        <v>400</v>
      </c>
      <c r="I201" s="35"/>
      <c r="J201" s="16" t="s">
        <v>33</v>
      </c>
    </row>
    <row r="202" spans="1:10" ht="18.649999999999999" customHeight="1" x14ac:dyDescent="0.35">
      <c r="A202" s="19" t="s">
        <v>786</v>
      </c>
      <c r="B202" s="19" t="s">
        <v>83</v>
      </c>
      <c r="C202" s="20" t="s">
        <v>84</v>
      </c>
      <c r="D202" s="20" t="s">
        <v>343</v>
      </c>
      <c r="E202" s="20" t="s">
        <v>781</v>
      </c>
      <c r="F202" s="19">
        <v>5</v>
      </c>
      <c r="G202" s="20" t="s">
        <v>787</v>
      </c>
      <c r="H202" s="19" t="s">
        <v>400</v>
      </c>
      <c r="I202" s="35"/>
      <c r="J202" s="19" t="s">
        <v>33</v>
      </c>
    </row>
    <row r="203" spans="1:10" ht="18.649999999999999" customHeight="1" x14ac:dyDescent="0.35">
      <c r="A203" s="16" t="s">
        <v>788</v>
      </c>
      <c r="B203" s="16" t="s">
        <v>83</v>
      </c>
      <c r="C203" s="15" t="s">
        <v>84</v>
      </c>
      <c r="D203" s="15" t="s">
        <v>343</v>
      </c>
      <c r="E203" s="15" t="s">
        <v>781</v>
      </c>
      <c r="F203" s="16">
        <v>6</v>
      </c>
      <c r="G203" s="15" t="s">
        <v>789</v>
      </c>
      <c r="H203" s="16" t="s">
        <v>400</v>
      </c>
      <c r="I203" s="35"/>
      <c r="J203" s="16" t="s">
        <v>33</v>
      </c>
    </row>
    <row r="204" spans="1:10" ht="18.649999999999999" customHeight="1" x14ac:dyDescent="0.35">
      <c r="A204" s="19" t="s">
        <v>790</v>
      </c>
      <c r="B204" s="19" t="s">
        <v>83</v>
      </c>
      <c r="C204" s="20" t="s">
        <v>84</v>
      </c>
      <c r="D204" s="20" t="s">
        <v>343</v>
      </c>
      <c r="E204" s="20" t="s">
        <v>781</v>
      </c>
      <c r="F204" s="19">
        <v>7</v>
      </c>
      <c r="G204" s="20" t="s">
        <v>742</v>
      </c>
      <c r="H204" s="19" t="s">
        <v>397</v>
      </c>
      <c r="I204" s="35"/>
      <c r="J204" s="19" t="s">
        <v>33</v>
      </c>
    </row>
    <row r="205" spans="1:10" ht="18.649999999999999" customHeight="1" x14ac:dyDescent="0.35">
      <c r="A205" s="16" t="s">
        <v>791</v>
      </c>
      <c r="B205" s="16" t="s">
        <v>83</v>
      </c>
      <c r="C205" s="15" t="s">
        <v>84</v>
      </c>
      <c r="D205" s="15" t="s">
        <v>343</v>
      </c>
      <c r="E205" s="15" t="s">
        <v>781</v>
      </c>
      <c r="F205" s="16">
        <v>8</v>
      </c>
      <c r="G205" s="15" t="s">
        <v>792</v>
      </c>
      <c r="H205" s="16" t="s">
        <v>400</v>
      </c>
      <c r="I205" s="35"/>
      <c r="J205" s="16" t="s">
        <v>33</v>
      </c>
    </row>
    <row r="206" spans="1:10" ht="18.649999999999999" customHeight="1" x14ac:dyDescent="0.35">
      <c r="A206" s="19" t="s">
        <v>793</v>
      </c>
      <c r="B206" s="19" t="s">
        <v>83</v>
      </c>
      <c r="C206" s="20" t="s">
        <v>84</v>
      </c>
      <c r="D206" s="20" t="s">
        <v>343</v>
      </c>
      <c r="E206" s="20" t="s">
        <v>781</v>
      </c>
      <c r="F206" s="19">
        <v>9</v>
      </c>
      <c r="G206" s="20" t="s">
        <v>794</v>
      </c>
      <c r="H206" s="19" t="s">
        <v>397</v>
      </c>
      <c r="I206" s="35"/>
      <c r="J206" s="19" t="s">
        <v>33</v>
      </c>
    </row>
    <row r="207" spans="1:10" ht="18.649999999999999" customHeight="1" x14ac:dyDescent="0.35">
      <c r="A207" s="16" t="s">
        <v>795</v>
      </c>
      <c r="B207" s="16" t="s">
        <v>83</v>
      </c>
      <c r="C207" s="15" t="s">
        <v>84</v>
      </c>
      <c r="D207" s="15" t="s">
        <v>343</v>
      </c>
      <c r="E207" s="15" t="s">
        <v>796</v>
      </c>
      <c r="F207" s="16">
        <v>1</v>
      </c>
      <c r="G207" s="15" t="s">
        <v>734</v>
      </c>
      <c r="H207" s="16" t="s">
        <v>397</v>
      </c>
      <c r="I207" s="35"/>
      <c r="J207" s="16" t="s">
        <v>33</v>
      </c>
    </row>
    <row r="208" spans="1:10" ht="18.649999999999999" customHeight="1" x14ac:dyDescent="0.35">
      <c r="A208" s="19" t="s">
        <v>797</v>
      </c>
      <c r="B208" s="19" t="s">
        <v>83</v>
      </c>
      <c r="C208" s="20" t="s">
        <v>84</v>
      </c>
      <c r="D208" s="20" t="s">
        <v>343</v>
      </c>
      <c r="E208" s="20" t="s">
        <v>796</v>
      </c>
      <c r="F208" s="19">
        <v>2</v>
      </c>
      <c r="G208" s="20" t="s">
        <v>798</v>
      </c>
      <c r="H208" s="19" t="s">
        <v>400</v>
      </c>
      <c r="I208" s="35"/>
      <c r="J208" s="19" t="s">
        <v>33</v>
      </c>
    </row>
    <row r="209" spans="1:10" ht="18.649999999999999" customHeight="1" x14ac:dyDescent="0.35">
      <c r="A209" s="16" t="s">
        <v>799</v>
      </c>
      <c r="B209" s="16" t="s">
        <v>83</v>
      </c>
      <c r="C209" s="15" t="s">
        <v>84</v>
      </c>
      <c r="D209" s="15" t="s">
        <v>343</v>
      </c>
      <c r="E209" s="15" t="s">
        <v>796</v>
      </c>
      <c r="F209" s="16">
        <v>3</v>
      </c>
      <c r="G209" s="15" t="s">
        <v>738</v>
      </c>
      <c r="H209" s="16" t="s">
        <v>397</v>
      </c>
      <c r="I209" s="35"/>
      <c r="J209" s="16" t="s">
        <v>33</v>
      </c>
    </row>
    <row r="210" spans="1:10" ht="18.649999999999999" customHeight="1" x14ac:dyDescent="0.35">
      <c r="A210" s="19" t="s">
        <v>800</v>
      </c>
      <c r="B210" s="19" t="s">
        <v>83</v>
      </c>
      <c r="C210" s="20" t="s">
        <v>84</v>
      </c>
      <c r="D210" s="20" t="s">
        <v>343</v>
      </c>
      <c r="E210" s="20" t="s">
        <v>796</v>
      </c>
      <c r="F210" s="19">
        <v>4</v>
      </c>
      <c r="G210" s="20" t="s">
        <v>801</v>
      </c>
      <c r="H210" s="19" t="s">
        <v>397</v>
      </c>
      <c r="I210" s="35"/>
      <c r="J210" s="19" t="s">
        <v>33</v>
      </c>
    </row>
    <row r="211" spans="1:10" ht="18.649999999999999" customHeight="1" x14ac:dyDescent="0.35">
      <c r="A211" s="16" t="s">
        <v>802</v>
      </c>
      <c r="B211" s="16" t="s">
        <v>83</v>
      </c>
      <c r="C211" s="15" t="s">
        <v>84</v>
      </c>
      <c r="D211" s="15" t="s">
        <v>343</v>
      </c>
      <c r="E211" s="15" t="s">
        <v>796</v>
      </c>
      <c r="F211" s="16">
        <v>5</v>
      </c>
      <c r="G211" s="15" t="s">
        <v>742</v>
      </c>
      <c r="H211" s="16" t="s">
        <v>397</v>
      </c>
      <c r="I211" s="35"/>
      <c r="J211" s="16" t="s">
        <v>33</v>
      </c>
    </row>
    <row r="212" spans="1:10" ht="18.649999999999999" customHeight="1" x14ac:dyDescent="0.35">
      <c r="A212" s="19" t="s">
        <v>803</v>
      </c>
      <c r="B212" s="19" t="s">
        <v>83</v>
      </c>
      <c r="C212" s="20" t="s">
        <v>84</v>
      </c>
      <c r="D212" s="20" t="s">
        <v>343</v>
      </c>
      <c r="E212" s="20" t="s">
        <v>796</v>
      </c>
      <c r="F212" s="19">
        <v>6</v>
      </c>
      <c r="G212" s="20" t="s">
        <v>804</v>
      </c>
      <c r="H212" s="19" t="s">
        <v>400</v>
      </c>
      <c r="I212" s="35"/>
      <c r="J212" s="19" t="s">
        <v>33</v>
      </c>
    </row>
    <row r="213" spans="1:10" ht="18.649999999999999" customHeight="1" x14ac:dyDescent="0.35">
      <c r="A213" s="16" t="s">
        <v>805</v>
      </c>
      <c r="B213" s="16" t="s">
        <v>83</v>
      </c>
      <c r="C213" s="15" t="s">
        <v>84</v>
      </c>
      <c r="D213" s="15" t="s">
        <v>343</v>
      </c>
      <c r="E213" s="15" t="s">
        <v>796</v>
      </c>
      <c r="F213" s="16">
        <v>7</v>
      </c>
      <c r="G213" s="15" t="s">
        <v>806</v>
      </c>
      <c r="H213" s="16" t="s">
        <v>397</v>
      </c>
      <c r="I213" s="35"/>
      <c r="J213" s="16" t="s">
        <v>33</v>
      </c>
    </row>
    <row r="214" spans="1:10" ht="18.649999999999999" customHeight="1" x14ac:dyDescent="0.35">
      <c r="A214" s="19" t="s">
        <v>807</v>
      </c>
      <c r="B214" s="19" t="s">
        <v>83</v>
      </c>
      <c r="C214" s="20" t="s">
        <v>84</v>
      </c>
      <c r="D214" s="20" t="s">
        <v>343</v>
      </c>
      <c r="E214" s="20" t="s">
        <v>808</v>
      </c>
      <c r="F214" s="19">
        <v>1</v>
      </c>
      <c r="G214" s="20" t="s">
        <v>734</v>
      </c>
      <c r="H214" s="19" t="s">
        <v>397</v>
      </c>
      <c r="I214" s="35"/>
      <c r="J214" s="19" t="s">
        <v>33</v>
      </c>
    </row>
    <row r="215" spans="1:10" ht="18.649999999999999" customHeight="1" x14ac:dyDescent="0.35">
      <c r="A215" s="16" t="s">
        <v>809</v>
      </c>
      <c r="B215" s="16" t="s">
        <v>83</v>
      </c>
      <c r="C215" s="15" t="s">
        <v>84</v>
      </c>
      <c r="D215" s="15" t="s">
        <v>343</v>
      </c>
      <c r="E215" s="15" t="s">
        <v>808</v>
      </c>
      <c r="F215" s="16">
        <v>2</v>
      </c>
      <c r="G215" s="15" t="s">
        <v>810</v>
      </c>
      <c r="H215" s="16" t="s">
        <v>397</v>
      </c>
      <c r="I215" s="35"/>
      <c r="J215" s="16" t="s">
        <v>33</v>
      </c>
    </row>
    <row r="216" spans="1:10" ht="18.649999999999999" customHeight="1" x14ac:dyDescent="0.35">
      <c r="A216" s="19" t="s">
        <v>811</v>
      </c>
      <c r="B216" s="19" t="s">
        <v>83</v>
      </c>
      <c r="C216" s="20" t="s">
        <v>84</v>
      </c>
      <c r="D216" s="20" t="s">
        <v>343</v>
      </c>
      <c r="E216" s="20" t="s">
        <v>808</v>
      </c>
      <c r="F216" s="19">
        <v>3</v>
      </c>
      <c r="G216" s="20" t="s">
        <v>738</v>
      </c>
      <c r="H216" s="19" t="s">
        <v>397</v>
      </c>
      <c r="I216" s="35"/>
      <c r="J216" s="19" t="s">
        <v>33</v>
      </c>
    </row>
    <row r="217" spans="1:10" ht="18.649999999999999" customHeight="1" x14ac:dyDescent="0.35">
      <c r="A217" s="16" t="s">
        <v>812</v>
      </c>
      <c r="B217" s="16" t="s">
        <v>83</v>
      </c>
      <c r="C217" s="15" t="s">
        <v>84</v>
      </c>
      <c r="D217" s="15" t="s">
        <v>343</v>
      </c>
      <c r="E217" s="15" t="s">
        <v>808</v>
      </c>
      <c r="F217" s="16">
        <v>4</v>
      </c>
      <c r="G217" s="15" t="s">
        <v>813</v>
      </c>
      <c r="H217" s="16" t="s">
        <v>400</v>
      </c>
      <c r="I217" s="35"/>
      <c r="J217" s="16" t="s">
        <v>33</v>
      </c>
    </row>
    <row r="218" spans="1:10" ht="18.649999999999999" customHeight="1" x14ac:dyDescent="0.35">
      <c r="A218" s="19" t="s">
        <v>814</v>
      </c>
      <c r="B218" s="19" t="s">
        <v>83</v>
      </c>
      <c r="C218" s="20" t="s">
        <v>84</v>
      </c>
      <c r="D218" s="20" t="s">
        <v>343</v>
      </c>
      <c r="E218" s="20" t="s">
        <v>808</v>
      </c>
      <c r="F218" s="19">
        <v>5</v>
      </c>
      <c r="G218" s="20" t="s">
        <v>742</v>
      </c>
      <c r="H218" s="19" t="s">
        <v>397</v>
      </c>
      <c r="I218" s="35"/>
      <c r="J218" s="19" t="s">
        <v>33</v>
      </c>
    </row>
    <row r="219" spans="1:10" ht="18.649999999999999" customHeight="1" x14ac:dyDescent="0.35">
      <c r="A219" s="16" t="s">
        <v>815</v>
      </c>
      <c r="B219" s="16" t="s">
        <v>83</v>
      </c>
      <c r="C219" s="15" t="s">
        <v>84</v>
      </c>
      <c r="D219" s="15" t="s">
        <v>343</v>
      </c>
      <c r="E219" s="15" t="s">
        <v>808</v>
      </c>
      <c r="F219" s="16">
        <v>6</v>
      </c>
      <c r="G219" s="15" t="s">
        <v>816</v>
      </c>
      <c r="H219" s="16" t="s">
        <v>400</v>
      </c>
      <c r="I219" s="35"/>
      <c r="J219" s="16" t="s">
        <v>33</v>
      </c>
    </row>
    <row r="220" spans="1:10" ht="18.649999999999999" customHeight="1" x14ac:dyDescent="0.35">
      <c r="A220" s="19" t="s">
        <v>817</v>
      </c>
      <c r="B220" s="19" t="s">
        <v>83</v>
      </c>
      <c r="C220" s="20" t="s">
        <v>84</v>
      </c>
      <c r="D220" s="20" t="s">
        <v>343</v>
      </c>
      <c r="E220" s="20" t="s">
        <v>808</v>
      </c>
      <c r="F220" s="19">
        <v>7</v>
      </c>
      <c r="G220" s="20" t="s">
        <v>746</v>
      </c>
      <c r="H220" s="19" t="s">
        <v>397</v>
      </c>
      <c r="I220" s="35"/>
      <c r="J220" s="19" t="s">
        <v>33</v>
      </c>
    </row>
    <row r="221" spans="1:10" ht="18.649999999999999" customHeight="1" x14ac:dyDescent="0.35">
      <c r="A221" s="16" t="s">
        <v>818</v>
      </c>
      <c r="B221" s="16" t="s">
        <v>83</v>
      </c>
      <c r="C221" s="15" t="s">
        <v>84</v>
      </c>
      <c r="D221" s="15" t="s">
        <v>343</v>
      </c>
      <c r="E221" s="15" t="s">
        <v>808</v>
      </c>
      <c r="F221" s="16">
        <v>8</v>
      </c>
      <c r="G221" s="15" t="s">
        <v>819</v>
      </c>
      <c r="H221" s="16" t="s">
        <v>397</v>
      </c>
      <c r="I221" s="35"/>
      <c r="J221" s="16" t="s">
        <v>33</v>
      </c>
    </row>
    <row r="222" spans="1:10" ht="18.649999999999999" customHeight="1" x14ac:dyDescent="0.35">
      <c r="A222" s="19" t="s">
        <v>820</v>
      </c>
      <c r="B222" s="19" t="s">
        <v>83</v>
      </c>
      <c r="C222" s="20" t="s">
        <v>84</v>
      </c>
      <c r="D222" s="20" t="s">
        <v>343</v>
      </c>
      <c r="E222" s="20" t="s">
        <v>808</v>
      </c>
      <c r="F222" s="19">
        <v>9</v>
      </c>
      <c r="G222" s="20" t="s">
        <v>750</v>
      </c>
      <c r="H222" s="19" t="s">
        <v>397</v>
      </c>
      <c r="I222" s="35"/>
      <c r="J222" s="19" t="s">
        <v>33</v>
      </c>
    </row>
    <row r="223" spans="1:10" ht="18.649999999999999" customHeight="1" x14ac:dyDescent="0.35">
      <c r="A223" s="16" t="s">
        <v>821</v>
      </c>
      <c r="B223" s="16" t="s">
        <v>83</v>
      </c>
      <c r="C223" s="15" t="s">
        <v>84</v>
      </c>
      <c r="D223" s="15" t="s">
        <v>343</v>
      </c>
      <c r="E223" s="15" t="s">
        <v>808</v>
      </c>
      <c r="F223" s="16">
        <v>10</v>
      </c>
      <c r="G223" s="15" t="s">
        <v>822</v>
      </c>
      <c r="H223" s="16" t="s">
        <v>445</v>
      </c>
      <c r="I223" s="35"/>
      <c r="J223" s="16" t="s">
        <v>33</v>
      </c>
    </row>
    <row r="224" spans="1:10" ht="18.649999999999999" customHeight="1" x14ac:dyDescent="0.35">
      <c r="A224" s="19" t="s">
        <v>823</v>
      </c>
      <c r="B224" s="19" t="s">
        <v>83</v>
      </c>
      <c r="C224" s="20" t="s">
        <v>84</v>
      </c>
      <c r="D224" s="20" t="s">
        <v>343</v>
      </c>
      <c r="E224" s="20" t="s">
        <v>808</v>
      </c>
      <c r="F224" s="19">
        <v>11</v>
      </c>
      <c r="G224" s="20" t="s">
        <v>824</v>
      </c>
      <c r="H224" s="19" t="s">
        <v>397</v>
      </c>
      <c r="I224" s="35"/>
      <c r="J224" s="19" t="s">
        <v>33</v>
      </c>
    </row>
    <row r="225" spans="1:10" ht="18.649999999999999" customHeight="1" x14ac:dyDescent="0.35">
      <c r="A225" s="16" t="s">
        <v>825</v>
      </c>
      <c r="B225" s="16" t="s">
        <v>83</v>
      </c>
      <c r="C225" s="15" t="s">
        <v>84</v>
      </c>
      <c r="D225" s="15" t="s">
        <v>343</v>
      </c>
      <c r="E225" s="15" t="s">
        <v>826</v>
      </c>
      <c r="F225" s="16">
        <v>1</v>
      </c>
      <c r="G225" s="15" t="s">
        <v>734</v>
      </c>
      <c r="H225" s="16" t="s">
        <v>397</v>
      </c>
      <c r="I225" s="35"/>
      <c r="J225" s="16" t="s">
        <v>33</v>
      </c>
    </row>
    <row r="226" spans="1:10" ht="18.649999999999999" customHeight="1" x14ac:dyDescent="0.35">
      <c r="A226" s="19" t="s">
        <v>827</v>
      </c>
      <c r="B226" s="19" t="s">
        <v>83</v>
      </c>
      <c r="C226" s="20" t="s">
        <v>84</v>
      </c>
      <c r="D226" s="20" t="s">
        <v>343</v>
      </c>
      <c r="E226" s="20" t="s">
        <v>826</v>
      </c>
      <c r="F226" s="19">
        <v>2</v>
      </c>
      <c r="G226" s="20" t="s">
        <v>828</v>
      </c>
      <c r="H226" s="19" t="s">
        <v>400</v>
      </c>
      <c r="I226" s="35"/>
      <c r="J226" s="19" t="s">
        <v>33</v>
      </c>
    </row>
    <row r="227" spans="1:10" ht="18.649999999999999" customHeight="1" x14ac:dyDescent="0.35">
      <c r="A227" s="16" t="s">
        <v>829</v>
      </c>
      <c r="B227" s="16" t="s">
        <v>83</v>
      </c>
      <c r="C227" s="15" t="s">
        <v>84</v>
      </c>
      <c r="D227" s="15" t="s">
        <v>343</v>
      </c>
      <c r="E227" s="15" t="s">
        <v>826</v>
      </c>
      <c r="F227" s="16">
        <v>3</v>
      </c>
      <c r="G227" s="15" t="s">
        <v>738</v>
      </c>
      <c r="H227" s="16" t="s">
        <v>397</v>
      </c>
      <c r="I227" s="35"/>
      <c r="J227" s="16" t="s">
        <v>33</v>
      </c>
    </row>
    <row r="228" spans="1:10" ht="18.649999999999999" customHeight="1" x14ac:dyDescent="0.35">
      <c r="A228" s="19" t="s">
        <v>830</v>
      </c>
      <c r="B228" s="19" t="s">
        <v>83</v>
      </c>
      <c r="C228" s="20" t="s">
        <v>84</v>
      </c>
      <c r="D228" s="20" t="s">
        <v>343</v>
      </c>
      <c r="E228" s="20" t="s">
        <v>826</v>
      </c>
      <c r="F228" s="19">
        <v>4</v>
      </c>
      <c r="G228" s="20" t="s">
        <v>831</v>
      </c>
      <c r="H228" s="19" t="s">
        <v>400</v>
      </c>
      <c r="I228" s="35"/>
      <c r="J228" s="19" t="s">
        <v>33</v>
      </c>
    </row>
    <row r="229" spans="1:10" ht="18.649999999999999" customHeight="1" x14ac:dyDescent="0.35">
      <c r="A229" s="16" t="s">
        <v>832</v>
      </c>
      <c r="B229" s="16" t="s">
        <v>83</v>
      </c>
      <c r="C229" s="15" t="s">
        <v>84</v>
      </c>
      <c r="D229" s="15" t="s">
        <v>343</v>
      </c>
      <c r="E229" s="15" t="s">
        <v>826</v>
      </c>
      <c r="F229" s="16">
        <v>5</v>
      </c>
      <c r="G229" s="15" t="s">
        <v>742</v>
      </c>
      <c r="H229" s="16" t="s">
        <v>397</v>
      </c>
      <c r="I229" s="35"/>
      <c r="J229" s="16" t="s">
        <v>33</v>
      </c>
    </row>
    <row r="230" spans="1:10" ht="18.649999999999999" customHeight="1" x14ac:dyDescent="0.35">
      <c r="A230" s="19" t="s">
        <v>833</v>
      </c>
      <c r="B230" s="19" t="s">
        <v>83</v>
      </c>
      <c r="C230" s="20" t="s">
        <v>84</v>
      </c>
      <c r="D230" s="20" t="s">
        <v>343</v>
      </c>
      <c r="E230" s="20" t="s">
        <v>826</v>
      </c>
      <c r="F230" s="19">
        <v>6</v>
      </c>
      <c r="G230" s="20" t="s">
        <v>834</v>
      </c>
      <c r="H230" s="19" t="s">
        <v>397</v>
      </c>
      <c r="I230" s="35"/>
      <c r="J230" s="19" t="s">
        <v>33</v>
      </c>
    </row>
  </sheetData>
  <mergeCells count="2">
    <mergeCell ref="A1:J1"/>
    <mergeCell ref="A2:J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35"/>
  <sheetViews>
    <sheetView workbookViewId="0">
      <selection sqref="A1:O1"/>
    </sheetView>
  </sheetViews>
  <sheetFormatPr baseColWidth="10" defaultColWidth="8.7265625" defaultRowHeight="14.5" x14ac:dyDescent="0.35"/>
  <cols>
    <col min="1" max="1" width="14" customWidth="1"/>
    <col min="2" max="2" width="28" customWidth="1"/>
    <col min="3" max="3" width="34" customWidth="1"/>
    <col min="4" max="4" width="10" customWidth="1"/>
    <col min="5" max="5" width="58" customWidth="1"/>
    <col min="6" max="6" width="26" customWidth="1"/>
    <col min="7" max="18" width="6" customWidth="1"/>
    <col min="19" max="19" width="12" customWidth="1"/>
  </cols>
  <sheetData>
    <row r="1" spans="1:19" ht="16" customHeight="1" x14ac:dyDescent="0.35">
      <c r="A1" s="40" t="s">
        <v>835</v>
      </c>
      <c r="B1" s="41"/>
      <c r="C1" s="41"/>
      <c r="D1" s="41"/>
      <c r="E1" s="41"/>
      <c r="F1" s="41"/>
      <c r="G1" s="41"/>
      <c r="H1" s="41"/>
      <c r="I1" s="41"/>
      <c r="J1" s="41"/>
      <c r="K1" s="41"/>
      <c r="L1" s="41"/>
      <c r="M1" s="41"/>
      <c r="N1" s="41"/>
      <c r="O1" s="41"/>
    </row>
    <row r="2" spans="1:19" ht="18.649999999999999" customHeight="1" x14ac:dyDescent="0.35">
      <c r="A2" s="45" t="s">
        <v>836</v>
      </c>
      <c r="B2" s="41"/>
      <c r="C2" s="41"/>
      <c r="D2" s="41"/>
      <c r="E2" s="41"/>
      <c r="F2" s="41"/>
      <c r="G2" s="41"/>
      <c r="H2" s="41"/>
      <c r="I2" s="41"/>
      <c r="J2" s="41"/>
      <c r="K2" s="41"/>
      <c r="L2" s="41"/>
      <c r="M2" s="41"/>
      <c r="N2" s="41"/>
      <c r="O2" s="41"/>
    </row>
    <row r="4" spans="1:19" ht="21.4" customHeight="1" x14ac:dyDescent="0.35">
      <c r="A4" s="14" t="s">
        <v>92</v>
      </c>
      <c r="B4" s="14" t="s">
        <v>93</v>
      </c>
      <c r="C4" s="14" t="s">
        <v>388</v>
      </c>
      <c r="D4" s="14" t="s">
        <v>99</v>
      </c>
      <c r="E4" s="14" t="s">
        <v>837</v>
      </c>
      <c r="F4" s="14" t="s">
        <v>838</v>
      </c>
      <c r="G4" s="14" t="s">
        <v>839</v>
      </c>
      <c r="H4" s="14" t="s">
        <v>840</v>
      </c>
      <c r="I4" s="14" t="s">
        <v>841</v>
      </c>
      <c r="J4" s="14" t="s">
        <v>842</v>
      </c>
      <c r="K4" s="14" t="s">
        <v>843</v>
      </c>
      <c r="L4" s="14" t="s">
        <v>844</v>
      </c>
      <c r="M4" s="14" t="s">
        <v>845</v>
      </c>
      <c r="N4" s="14" t="s">
        <v>846</v>
      </c>
      <c r="O4" s="14" t="s">
        <v>847</v>
      </c>
      <c r="P4" s="14" t="s">
        <v>848</v>
      </c>
      <c r="Q4" s="14" t="s">
        <v>849</v>
      </c>
      <c r="R4" s="14" t="s">
        <v>850</v>
      </c>
      <c r="S4" s="14" t="s">
        <v>851</v>
      </c>
    </row>
    <row r="5" spans="1:19" ht="18.649999999999999" customHeight="1" x14ac:dyDescent="0.35">
      <c r="A5" s="16" t="s">
        <v>66</v>
      </c>
      <c r="B5" s="15" t="s">
        <v>67</v>
      </c>
      <c r="C5" s="15" t="s">
        <v>126</v>
      </c>
      <c r="D5" s="16">
        <v>1</v>
      </c>
      <c r="E5" s="15" t="s">
        <v>852</v>
      </c>
      <c r="F5" s="15" t="s">
        <v>133</v>
      </c>
      <c r="G5" s="36">
        <f t="shared" ref="G5:G35" si="0">--ISNUMBER(SEARCH("Ene",$F5))</f>
        <v>0</v>
      </c>
      <c r="H5" s="36">
        <f t="shared" ref="H5:H35" si="1">--ISNUMBER(SEARCH("Feb",$F5))</f>
        <v>0</v>
      </c>
      <c r="I5" s="36">
        <f t="shared" ref="I5:I35" si="2">--ISNUMBER(SEARCH("Mar",$F5))</f>
        <v>0</v>
      </c>
      <c r="J5" s="36">
        <f t="shared" ref="J5:J35" si="3">--ISNUMBER(SEARCH("Abr",$F5))</f>
        <v>0</v>
      </c>
      <c r="K5" s="36">
        <f t="shared" ref="K5:K35" si="4">--ISNUMBER(SEARCH("May",$F5))</f>
        <v>1</v>
      </c>
      <c r="L5" s="36">
        <f t="shared" ref="L5:L35" si="5">--ISNUMBER(SEARCH("Jun",$F5))</f>
        <v>1</v>
      </c>
      <c r="M5" s="36">
        <f t="shared" ref="M5:M35" si="6">--ISNUMBER(SEARCH("Jul",$F5))</f>
        <v>1</v>
      </c>
      <c r="N5" s="36">
        <f t="shared" ref="N5:N35" si="7">--ISNUMBER(SEARCH("Ago",$F5))</f>
        <v>1</v>
      </c>
      <c r="O5" s="36">
        <f t="shared" ref="O5:O35" si="8">--ISNUMBER(SEARCH("Sep",$F5))</f>
        <v>1</v>
      </c>
      <c r="P5" s="36">
        <f t="shared" ref="P5:P35" si="9">--ISNUMBER(SEARCH("Oct",$F5))</f>
        <v>1</v>
      </c>
      <c r="Q5" s="36">
        <f t="shared" ref="Q5:Q35" si="10">--ISNUMBER(SEARCH("Nov",$F5))</f>
        <v>1</v>
      </c>
      <c r="R5" s="36">
        <f t="shared" ref="R5:R35" si="11">--ISNUMBER(SEARCH("Dic",$F5))</f>
        <v>1</v>
      </c>
      <c r="S5" s="37">
        <f t="shared" ref="S5:S35" si="12">SUM(G5:R5)</f>
        <v>8</v>
      </c>
    </row>
    <row r="6" spans="1:19" ht="18.649999999999999" customHeight="1" x14ac:dyDescent="0.35">
      <c r="A6" s="19" t="s">
        <v>66</v>
      </c>
      <c r="B6" s="20" t="s">
        <v>67</v>
      </c>
      <c r="C6" s="20" t="s">
        <v>126</v>
      </c>
      <c r="D6" s="19">
        <v>2</v>
      </c>
      <c r="E6" s="20" t="s">
        <v>138</v>
      </c>
      <c r="F6" s="20" t="s">
        <v>143</v>
      </c>
      <c r="G6" s="38">
        <f t="shared" si="0"/>
        <v>0</v>
      </c>
      <c r="H6" s="38">
        <f t="shared" si="1"/>
        <v>1</v>
      </c>
      <c r="I6" s="38">
        <f t="shared" si="2"/>
        <v>1</v>
      </c>
      <c r="J6" s="38">
        <f t="shared" si="3"/>
        <v>1</v>
      </c>
      <c r="K6" s="38">
        <f t="shared" si="4"/>
        <v>1</v>
      </c>
      <c r="L6" s="38">
        <f t="shared" si="5"/>
        <v>1</v>
      </c>
      <c r="M6" s="38">
        <f t="shared" si="6"/>
        <v>1</v>
      </c>
      <c r="N6" s="38">
        <f t="shared" si="7"/>
        <v>1</v>
      </c>
      <c r="O6" s="38">
        <f t="shared" si="8"/>
        <v>1</v>
      </c>
      <c r="P6" s="38">
        <f t="shared" si="9"/>
        <v>1</v>
      </c>
      <c r="Q6" s="38">
        <f t="shared" si="10"/>
        <v>1</v>
      </c>
      <c r="R6" s="38">
        <f t="shared" si="11"/>
        <v>1</v>
      </c>
      <c r="S6" s="39">
        <f t="shared" si="12"/>
        <v>11</v>
      </c>
    </row>
    <row r="7" spans="1:19" ht="18.649999999999999" customHeight="1" x14ac:dyDescent="0.35">
      <c r="A7" s="16" t="s">
        <v>63</v>
      </c>
      <c r="B7" s="15" t="s">
        <v>64</v>
      </c>
      <c r="C7" s="15" t="s">
        <v>146</v>
      </c>
      <c r="D7" s="16">
        <v>1</v>
      </c>
      <c r="E7" s="15" t="s">
        <v>147</v>
      </c>
      <c r="F7" s="15" t="s">
        <v>153</v>
      </c>
      <c r="G7" s="36">
        <f t="shared" si="0"/>
        <v>0</v>
      </c>
      <c r="H7" s="36">
        <f t="shared" si="1"/>
        <v>0</v>
      </c>
      <c r="I7" s="36">
        <f t="shared" si="2"/>
        <v>0</v>
      </c>
      <c r="J7" s="36">
        <f t="shared" si="3"/>
        <v>0</v>
      </c>
      <c r="K7" s="36">
        <f t="shared" si="4"/>
        <v>0</v>
      </c>
      <c r="L7" s="36">
        <f t="shared" si="5"/>
        <v>1</v>
      </c>
      <c r="M7" s="36">
        <f t="shared" si="6"/>
        <v>1</v>
      </c>
      <c r="N7" s="36">
        <f t="shared" si="7"/>
        <v>0</v>
      </c>
      <c r="O7" s="36">
        <f t="shared" si="8"/>
        <v>0</v>
      </c>
      <c r="P7" s="36">
        <f t="shared" si="9"/>
        <v>1</v>
      </c>
      <c r="Q7" s="36">
        <f t="shared" si="10"/>
        <v>1</v>
      </c>
      <c r="R7" s="36">
        <f t="shared" si="11"/>
        <v>1</v>
      </c>
      <c r="S7" s="37">
        <f t="shared" si="12"/>
        <v>5</v>
      </c>
    </row>
    <row r="8" spans="1:19" ht="18.649999999999999" customHeight="1" x14ac:dyDescent="0.35">
      <c r="A8" s="19" t="s">
        <v>63</v>
      </c>
      <c r="B8" s="20" t="s">
        <v>64</v>
      </c>
      <c r="C8" s="20" t="s">
        <v>146</v>
      </c>
      <c r="D8" s="19">
        <v>2</v>
      </c>
      <c r="E8" s="20" t="s">
        <v>158</v>
      </c>
      <c r="F8" s="20" t="s">
        <v>163</v>
      </c>
      <c r="G8" s="38">
        <f t="shared" si="0"/>
        <v>0</v>
      </c>
      <c r="H8" s="38">
        <f t="shared" si="1"/>
        <v>0</v>
      </c>
      <c r="I8" s="38">
        <f t="shared" si="2"/>
        <v>0</v>
      </c>
      <c r="J8" s="38">
        <f t="shared" si="3"/>
        <v>0</v>
      </c>
      <c r="K8" s="38">
        <f t="shared" si="4"/>
        <v>0</v>
      </c>
      <c r="L8" s="38">
        <f t="shared" si="5"/>
        <v>0</v>
      </c>
      <c r="M8" s="38">
        <f t="shared" si="6"/>
        <v>1</v>
      </c>
      <c r="N8" s="38">
        <f t="shared" si="7"/>
        <v>0</v>
      </c>
      <c r="O8" s="38">
        <f t="shared" si="8"/>
        <v>1</v>
      </c>
      <c r="P8" s="38">
        <f t="shared" si="9"/>
        <v>0</v>
      </c>
      <c r="Q8" s="38">
        <f t="shared" si="10"/>
        <v>1</v>
      </c>
      <c r="R8" s="38">
        <f t="shared" si="11"/>
        <v>1</v>
      </c>
      <c r="S8" s="39">
        <f t="shared" si="12"/>
        <v>4</v>
      </c>
    </row>
    <row r="9" spans="1:19" ht="18.649999999999999" customHeight="1" x14ac:dyDescent="0.35">
      <c r="A9" s="16" t="s">
        <v>60</v>
      </c>
      <c r="B9" s="15" t="s">
        <v>61</v>
      </c>
      <c r="C9" s="15" t="s">
        <v>165</v>
      </c>
      <c r="D9" s="16">
        <v>1</v>
      </c>
      <c r="E9" s="15" t="s">
        <v>853</v>
      </c>
      <c r="F9" s="15" t="s">
        <v>173</v>
      </c>
      <c r="G9" s="36">
        <f t="shared" si="0"/>
        <v>1</v>
      </c>
      <c r="H9" s="36">
        <f t="shared" si="1"/>
        <v>1</v>
      </c>
      <c r="I9" s="36">
        <f t="shared" si="2"/>
        <v>1</v>
      </c>
      <c r="J9" s="36">
        <f t="shared" si="3"/>
        <v>1</v>
      </c>
      <c r="K9" s="36">
        <f t="shared" si="4"/>
        <v>1</v>
      </c>
      <c r="L9" s="36">
        <f t="shared" si="5"/>
        <v>1</v>
      </c>
      <c r="M9" s="36">
        <f t="shared" si="6"/>
        <v>1</v>
      </c>
      <c r="N9" s="36">
        <f t="shared" si="7"/>
        <v>1</v>
      </c>
      <c r="O9" s="36">
        <f t="shared" si="8"/>
        <v>1</v>
      </c>
      <c r="P9" s="36">
        <f t="shared" si="9"/>
        <v>1</v>
      </c>
      <c r="Q9" s="36">
        <f t="shared" si="10"/>
        <v>1</v>
      </c>
      <c r="R9" s="36">
        <f t="shared" si="11"/>
        <v>1</v>
      </c>
      <c r="S9" s="37">
        <f t="shared" si="12"/>
        <v>12</v>
      </c>
    </row>
    <row r="10" spans="1:19" ht="18.649999999999999" customHeight="1" x14ac:dyDescent="0.35">
      <c r="A10" s="19" t="s">
        <v>60</v>
      </c>
      <c r="B10" s="20" t="s">
        <v>61</v>
      </c>
      <c r="C10" s="20" t="s">
        <v>165</v>
      </c>
      <c r="D10" s="19">
        <v>2</v>
      </c>
      <c r="E10" s="20" t="s">
        <v>178</v>
      </c>
      <c r="F10" s="20" t="s">
        <v>183</v>
      </c>
      <c r="G10" s="38">
        <f t="shared" si="0"/>
        <v>0</v>
      </c>
      <c r="H10" s="38">
        <f t="shared" si="1"/>
        <v>0</v>
      </c>
      <c r="I10" s="38">
        <f t="shared" si="2"/>
        <v>1</v>
      </c>
      <c r="J10" s="38">
        <f t="shared" si="3"/>
        <v>0</v>
      </c>
      <c r="K10" s="38">
        <f t="shared" si="4"/>
        <v>0</v>
      </c>
      <c r="L10" s="38">
        <f t="shared" si="5"/>
        <v>1</v>
      </c>
      <c r="M10" s="38">
        <f t="shared" si="6"/>
        <v>1</v>
      </c>
      <c r="N10" s="38">
        <f t="shared" si="7"/>
        <v>1</v>
      </c>
      <c r="O10" s="38">
        <f t="shared" si="8"/>
        <v>1</v>
      </c>
      <c r="P10" s="38">
        <f t="shared" si="9"/>
        <v>0</v>
      </c>
      <c r="Q10" s="38">
        <f t="shared" si="10"/>
        <v>1</v>
      </c>
      <c r="R10" s="38">
        <f t="shared" si="11"/>
        <v>1</v>
      </c>
      <c r="S10" s="39">
        <f t="shared" si="12"/>
        <v>7</v>
      </c>
    </row>
    <row r="11" spans="1:19" ht="18.649999999999999" customHeight="1" x14ac:dyDescent="0.35">
      <c r="A11" s="16" t="s">
        <v>87</v>
      </c>
      <c r="B11" s="15" t="s">
        <v>88</v>
      </c>
      <c r="C11" s="15" t="s">
        <v>186</v>
      </c>
      <c r="D11" s="16">
        <v>1</v>
      </c>
      <c r="E11" s="15" t="s">
        <v>187</v>
      </c>
      <c r="F11" s="15" t="s">
        <v>173</v>
      </c>
      <c r="G11" s="36">
        <f t="shared" si="0"/>
        <v>1</v>
      </c>
      <c r="H11" s="36">
        <f t="shared" si="1"/>
        <v>1</v>
      </c>
      <c r="I11" s="36">
        <f t="shared" si="2"/>
        <v>1</v>
      </c>
      <c r="J11" s="36">
        <f t="shared" si="3"/>
        <v>1</v>
      </c>
      <c r="K11" s="36">
        <f t="shared" si="4"/>
        <v>1</v>
      </c>
      <c r="L11" s="36">
        <f t="shared" si="5"/>
        <v>1</v>
      </c>
      <c r="M11" s="36">
        <f t="shared" si="6"/>
        <v>1</v>
      </c>
      <c r="N11" s="36">
        <f t="shared" si="7"/>
        <v>1</v>
      </c>
      <c r="O11" s="36">
        <f t="shared" si="8"/>
        <v>1</v>
      </c>
      <c r="P11" s="36">
        <f t="shared" si="9"/>
        <v>1</v>
      </c>
      <c r="Q11" s="36">
        <f t="shared" si="10"/>
        <v>1</v>
      </c>
      <c r="R11" s="36">
        <f t="shared" si="11"/>
        <v>1</v>
      </c>
      <c r="S11" s="37">
        <f t="shared" si="12"/>
        <v>12</v>
      </c>
    </row>
    <row r="12" spans="1:19" ht="18.649999999999999" customHeight="1" x14ac:dyDescent="0.35">
      <c r="A12" s="19" t="s">
        <v>87</v>
      </c>
      <c r="B12" s="20" t="s">
        <v>88</v>
      </c>
      <c r="C12" s="20" t="s">
        <v>186</v>
      </c>
      <c r="D12" s="19">
        <v>2</v>
      </c>
      <c r="E12" s="20" t="s">
        <v>196</v>
      </c>
      <c r="F12" s="20" t="s">
        <v>173</v>
      </c>
      <c r="G12" s="38">
        <f t="shared" si="0"/>
        <v>1</v>
      </c>
      <c r="H12" s="38">
        <f t="shared" si="1"/>
        <v>1</v>
      </c>
      <c r="I12" s="38">
        <f t="shared" si="2"/>
        <v>1</v>
      </c>
      <c r="J12" s="38">
        <f t="shared" si="3"/>
        <v>1</v>
      </c>
      <c r="K12" s="38">
        <f t="shared" si="4"/>
        <v>1</v>
      </c>
      <c r="L12" s="38">
        <f t="shared" si="5"/>
        <v>1</v>
      </c>
      <c r="M12" s="38">
        <f t="shared" si="6"/>
        <v>1</v>
      </c>
      <c r="N12" s="38">
        <f t="shared" si="7"/>
        <v>1</v>
      </c>
      <c r="O12" s="38">
        <f t="shared" si="8"/>
        <v>1</v>
      </c>
      <c r="P12" s="38">
        <f t="shared" si="9"/>
        <v>1</v>
      </c>
      <c r="Q12" s="38">
        <f t="shared" si="10"/>
        <v>1</v>
      </c>
      <c r="R12" s="38">
        <f t="shared" si="11"/>
        <v>1</v>
      </c>
      <c r="S12" s="39">
        <f t="shared" si="12"/>
        <v>12</v>
      </c>
    </row>
    <row r="13" spans="1:19" ht="18.649999999999999" customHeight="1" x14ac:dyDescent="0.35">
      <c r="A13" s="16" t="s">
        <v>87</v>
      </c>
      <c r="B13" s="15" t="s">
        <v>88</v>
      </c>
      <c r="C13" s="15" t="s">
        <v>186</v>
      </c>
      <c r="D13" s="16">
        <v>3</v>
      </c>
      <c r="E13" s="15" t="s">
        <v>854</v>
      </c>
      <c r="F13" s="15" t="s">
        <v>207</v>
      </c>
      <c r="G13" s="36">
        <f t="shared" si="0"/>
        <v>0</v>
      </c>
      <c r="H13" s="36">
        <f t="shared" si="1"/>
        <v>0</v>
      </c>
      <c r="I13" s="36">
        <f t="shared" si="2"/>
        <v>1</v>
      </c>
      <c r="J13" s="36">
        <f t="shared" si="3"/>
        <v>1</v>
      </c>
      <c r="K13" s="36">
        <f t="shared" si="4"/>
        <v>1</v>
      </c>
      <c r="L13" s="36">
        <f t="shared" si="5"/>
        <v>1</v>
      </c>
      <c r="M13" s="36">
        <f t="shared" si="6"/>
        <v>1</v>
      </c>
      <c r="N13" s="36">
        <f t="shared" si="7"/>
        <v>1</v>
      </c>
      <c r="O13" s="36">
        <f t="shared" si="8"/>
        <v>1</v>
      </c>
      <c r="P13" s="36">
        <f t="shared" si="9"/>
        <v>1</v>
      </c>
      <c r="Q13" s="36">
        <f t="shared" si="10"/>
        <v>1</v>
      </c>
      <c r="R13" s="36">
        <f t="shared" si="11"/>
        <v>1</v>
      </c>
      <c r="S13" s="37">
        <f t="shared" si="12"/>
        <v>10</v>
      </c>
    </row>
    <row r="14" spans="1:19" ht="18.649999999999999" customHeight="1" x14ac:dyDescent="0.35">
      <c r="A14" s="19" t="s">
        <v>87</v>
      </c>
      <c r="B14" s="20" t="s">
        <v>88</v>
      </c>
      <c r="C14" s="20" t="s">
        <v>186</v>
      </c>
      <c r="D14" s="19">
        <v>4</v>
      </c>
      <c r="E14" s="20" t="s">
        <v>208</v>
      </c>
      <c r="F14" s="20" t="s">
        <v>214</v>
      </c>
      <c r="G14" s="38">
        <f t="shared" si="0"/>
        <v>0</v>
      </c>
      <c r="H14" s="38">
        <f t="shared" si="1"/>
        <v>0</v>
      </c>
      <c r="I14" s="38">
        <f t="shared" si="2"/>
        <v>1</v>
      </c>
      <c r="J14" s="38">
        <f t="shared" si="3"/>
        <v>1</v>
      </c>
      <c r="K14" s="38">
        <f t="shared" si="4"/>
        <v>1</v>
      </c>
      <c r="L14" s="38">
        <f t="shared" si="5"/>
        <v>1</v>
      </c>
      <c r="M14" s="38">
        <f t="shared" si="6"/>
        <v>1</v>
      </c>
      <c r="N14" s="38">
        <f t="shared" si="7"/>
        <v>1</v>
      </c>
      <c r="O14" s="38">
        <f t="shared" si="8"/>
        <v>1</v>
      </c>
      <c r="P14" s="38">
        <f t="shared" si="9"/>
        <v>1</v>
      </c>
      <c r="Q14" s="38">
        <f t="shared" si="10"/>
        <v>1</v>
      </c>
      <c r="R14" s="38">
        <f t="shared" si="11"/>
        <v>0</v>
      </c>
      <c r="S14" s="39">
        <f t="shared" si="12"/>
        <v>9</v>
      </c>
    </row>
    <row r="15" spans="1:19" ht="18.649999999999999" customHeight="1" x14ac:dyDescent="0.35">
      <c r="A15" s="16" t="s">
        <v>68</v>
      </c>
      <c r="B15" s="15" t="s">
        <v>69</v>
      </c>
      <c r="C15" s="15" t="s">
        <v>216</v>
      </c>
      <c r="D15" s="16">
        <v>1</v>
      </c>
      <c r="E15" s="15" t="s">
        <v>217</v>
      </c>
      <c r="F15" s="15" t="s">
        <v>223</v>
      </c>
      <c r="G15" s="36">
        <f t="shared" si="0"/>
        <v>0</v>
      </c>
      <c r="H15" s="36">
        <f t="shared" si="1"/>
        <v>0</v>
      </c>
      <c r="I15" s="36">
        <f t="shared" si="2"/>
        <v>0</v>
      </c>
      <c r="J15" s="36">
        <f t="shared" si="3"/>
        <v>0</v>
      </c>
      <c r="K15" s="36">
        <f t="shared" si="4"/>
        <v>0</v>
      </c>
      <c r="L15" s="36">
        <f t="shared" si="5"/>
        <v>0</v>
      </c>
      <c r="M15" s="36">
        <f t="shared" si="6"/>
        <v>1</v>
      </c>
      <c r="N15" s="36">
        <f t="shared" si="7"/>
        <v>0</v>
      </c>
      <c r="O15" s="36">
        <f t="shared" si="8"/>
        <v>0</v>
      </c>
      <c r="P15" s="36">
        <f t="shared" si="9"/>
        <v>0</v>
      </c>
      <c r="Q15" s="36">
        <f t="shared" si="10"/>
        <v>1</v>
      </c>
      <c r="R15" s="36">
        <f t="shared" si="11"/>
        <v>0</v>
      </c>
      <c r="S15" s="37">
        <f t="shared" si="12"/>
        <v>2</v>
      </c>
    </row>
    <row r="16" spans="1:19" ht="18.649999999999999" customHeight="1" x14ac:dyDescent="0.35">
      <c r="A16" s="19" t="s">
        <v>68</v>
      </c>
      <c r="B16" s="20" t="s">
        <v>69</v>
      </c>
      <c r="C16" s="20" t="s">
        <v>216</v>
      </c>
      <c r="D16" s="19">
        <v>2</v>
      </c>
      <c r="E16" s="20" t="s">
        <v>228</v>
      </c>
      <c r="F16" s="20" t="s">
        <v>223</v>
      </c>
      <c r="G16" s="38">
        <f t="shared" si="0"/>
        <v>0</v>
      </c>
      <c r="H16" s="38">
        <f t="shared" si="1"/>
        <v>0</v>
      </c>
      <c r="I16" s="38">
        <f t="shared" si="2"/>
        <v>0</v>
      </c>
      <c r="J16" s="38">
        <f t="shared" si="3"/>
        <v>0</v>
      </c>
      <c r="K16" s="38">
        <f t="shared" si="4"/>
        <v>0</v>
      </c>
      <c r="L16" s="38">
        <f t="shared" si="5"/>
        <v>0</v>
      </c>
      <c r="M16" s="38">
        <f t="shared" si="6"/>
        <v>1</v>
      </c>
      <c r="N16" s="38">
        <f t="shared" si="7"/>
        <v>0</v>
      </c>
      <c r="O16" s="38">
        <f t="shared" si="8"/>
        <v>0</v>
      </c>
      <c r="P16" s="38">
        <f t="shared" si="9"/>
        <v>0</v>
      </c>
      <c r="Q16" s="38">
        <f t="shared" si="10"/>
        <v>1</v>
      </c>
      <c r="R16" s="38">
        <f t="shared" si="11"/>
        <v>0</v>
      </c>
      <c r="S16" s="39">
        <f t="shared" si="12"/>
        <v>2</v>
      </c>
    </row>
    <row r="17" spans="1:19" ht="18.649999999999999" customHeight="1" x14ac:dyDescent="0.35">
      <c r="A17" s="16" t="s">
        <v>73</v>
      </c>
      <c r="B17" s="15" t="s">
        <v>74</v>
      </c>
      <c r="C17" s="15" t="s">
        <v>234</v>
      </c>
      <c r="D17" s="16">
        <v>1</v>
      </c>
      <c r="E17" s="15" t="s">
        <v>235</v>
      </c>
      <c r="F17" s="15" t="s">
        <v>241</v>
      </c>
      <c r="G17" s="36">
        <f t="shared" si="0"/>
        <v>0</v>
      </c>
      <c r="H17" s="36">
        <f t="shared" si="1"/>
        <v>0</v>
      </c>
      <c r="I17" s="36">
        <f t="shared" si="2"/>
        <v>0</v>
      </c>
      <c r="J17" s="36">
        <f t="shared" si="3"/>
        <v>0</v>
      </c>
      <c r="K17" s="36">
        <f t="shared" si="4"/>
        <v>0</v>
      </c>
      <c r="L17" s="36">
        <f t="shared" si="5"/>
        <v>1</v>
      </c>
      <c r="M17" s="36">
        <f t="shared" si="6"/>
        <v>1</v>
      </c>
      <c r="N17" s="36">
        <f t="shared" si="7"/>
        <v>1</v>
      </c>
      <c r="O17" s="36">
        <f t="shared" si="8"/>
        <v>1</v>
      </c>
      <c r="P17" s="36">
        <f t="shared" si="9"/>
        <v>1</v>
      </c>
      <c r="Q17" s="36">
        <f t="shared" si="10"/>
        <v>0</v>
      </c>
      <c r="R17" s="36">
        <f t="shared" si="11"/>
        <v>0</v>
      </c>
      <c r="S17" s="37">
        <f t="shared" si="12"/>
        <v>5</v>
      </c>
    </row>
    <row r="18" spans="1:19" ht="18.649999999999999" customHeight="1" x14ac:dyDescent="0.35">
      <c r="A18" s="19" t="s">
        <v>73</v>
      </c>
      <c r="B18" s="20" t="s">
        <v>74</v>
      </c>
      <c r="C18" s="20" t="s">
        <v>234</v>
      </c>
      <c r="D18" s="19">
        <v>1</v>
      </c>
      <c r="E18" s="20" t="s">
        <v>245</v>
      </c>
      <c r="F18" s="20" t="s">
        <v>250</v>
      </c>
      <c r="G18" s="38">
        <f t="shared" si="0"/>
        <v>0</v>
      </c>
      <c r="H18" s="38">
        <f t="shared" si="1"/>
        <v>0</v>
      </c>
      <c r="I18" s="38">
        <f t="shared" si="2"/>
        <v>0</v>
      </c>
      <c r="J18" s="38">
        <f t="shared" si="3"/>
        <v>0</v>
      </c>
      <c r="K18" s="38">
        <f t="shared" si="4"/>
        <v>0</v>
      </c>
      <c r="L18" s="38">
        <f t="shared" si="5"/>
        <v>1</v>
      </c>
      <c r="M18" s="38">
        <f t="shared" si="6"/>
        <v>1</v>
      </c>
      <c r="N18" s="38">
        <f t="shared" si="7"/>
        <v>1</v>
      </c>
      <c r="O18" s="38">
        <f t="shared" si="8"/>
        <v>1</v>
      </c>
      <c r="P18" s="38">
        <f t="shared" si="9"/>
        <v>0</v>
      </c>
      <c r="Q18" s="38">
        <f t="shared" si="10"/>
        <v>0</v>
      </c>
      <c r="R18" s="38">
        <f t="shared" si="11"/>
        <v>0</v>
      </c>
      <c r="S18" s="39">
        <f t="shared" si="12"/>
        <v>4</v>
      </c>
    </row>
    <row r="19" spans="1:19" ht="18.649999999999999" customHeight="1" x14ac:dyDescent="0.35">
      <c r="A19" s="16" t="s">
        <v>55</v>
      </c>
      <c r="B19" s="15" t="s">
        <v>56</v>
      </c>
      <c r="C19" s="15" t="s">
        <v>252</v>
      </c>
      <c r="D19" s="16">
        <v>1</v>
      </c>
      <c r="E19" s="15" t="s">
        <v>253</v>
      </c>
      <c r="F19" s="15" t="s">
        <v>258</v>
      </c>
      <c r="G19" s="36">
        <f t="shared" si="0"/>
        <v>0</v>
      </c>
      <c r="H19" s="36">
        <f t="shared" si="1"/>
        <v>0</v>
      </c>
      <c r="I19" s="36">
        <f t="shared" si="2"/>
        <v>0</v>
      </c>
      <c r="J19" s="36">
        <f t="shared" si="3"/>
        <v>0</v>
      </c>
      <c r="K19" s="36">
        <f t="shared" si="4"/>
        <v>0</v>
      </c>
      <c r="L19" s="36">
        <f t="shared" si="5"/>
        <v>1</v>
      </c>
      <c r="M19" s="36">
        <f t="shared" si="6"/>
        <v>1</v>
      </c>
      <c r="N19" s="36">
        <f t="shared" si="7"/>
        <v>1</v>
      </c>
      <c r="O19" s="36">
        <f t="shared" si="8"/>
        <v>1</v>
      </c>
      <c r="P19" s="36">
        <f t="shared" si="9"/>
        <v>1</v>
      </c>
      <c r="Q19" s="36">
        <f t="shared" si="10"/>
        <v>1</v>
      </c>
      <c r="R19" s="36">
        <f t="shared" si="11"/>
        <v>1</v>
      </c>
      <c r="S19" s="37">
        <f t="shared" si="12"/>
        <v>7</v>
      </c>
    </row>
    <row r="20" spans="1:19" ht="18.649999999999999" customHeight="1" x14ac:dyDescent="0.35">
      <c r="A20" s="19" t="s">
        <v>55</v>
      </c>
      <c r="B20" s="20" t="s">
        <v>56</v>
      </c>
      <c r="C20" s="20" t="s">
        <v>252</v>
      </c>
      <c r="D20" s="19">
        <v>2</v>
      </c>
      <c r="E20" s="20" t="s">
        <v>263</v>
      </c>
      <c r="F20" s="20" t="s">
        <v>268</v>
      </c>
      <c r="G20" s="38">
        <f t="shared" si="0"/>
        <v>0</v>
      </c>
      <c r="H20" s="38">
        <f t="shared" si="1"/>
        <v>0</v>
      </c>
      <c r="I20" s="38">
        <f t="shared" si="2"/>
        <v>0</v>
      </c>
      <c r="J20" s="38">
        <f t="shared" si="3"/>
        <v>0</v>
      </c>
      <c r="K20" s="38">
        <f t="shared" si="4"/>
        <v>0</v>
      </c>
      <c r="L20" s="38">
        <f t="shared" si="5"/>
        <v>1</v>
      </c>
      <c r="M20" s="38">
        <f t="shared" si="6"/>
        <v>0</v>
      </c>
      <c r="N20" s="38">
        <f t="shared" si="7"/>
        <v>0</v>
      </c>
      <c r="O20" s="38">
        <f t="shared" si="8"/>
        <v>1</v>
      </c>
      <c r="P20" s="38">
        <f t="shared" si="9"/>
        <v>0</v>
      </c>
      <c r="Q20" s="38">
        <f t="shared" si="10"/>
        <v>0</v>
      </c>
      <c r="R20" s="38">
        <f t="shared" si="11"/>
        <v>1</v>
      </c>
      <c r="S20" s="39">
        <f t="shared" si="12"/>
        <v>3</v>
      </c>
    </row>
    <row r="21" spans="1:19" ht="18.649999999999999" customHeight="1" x14ac:dyDescent="0.35">
      <c r="A21" s="16" t="s">
        <v>79</v>
      </c>
      <c r="B21" s="15" t="s">
        <v>80</v>
      </c>
      <c r="C21" s="15" t="s">
        <v>270</v>
      </c>
      <c r="D21" s="16">
        <v>1</v>
      </c>
      <c r="E21" s="15" t="s">
        <v>271</v>
      </c>
      <c r="F21" s="15" t="s">
        <v>173</v>
      </c>
      <c r="G21" s="36">
        <f t="shared" si="0"/>
        <v>1</v>
      </c>
      <c r="H21" s="36">
        <f t="shared" si="1"/>
        <v>1</v>
      </c>
      <c r="I21" s="36">
        <f t="shared" si="2"/>
        <v>1</v>
      </c>
      <c r="J21" s="36">
        <f t="shared" si="3"/>
        <v>1</v>
      </c>
      <c r="K21" s="36">
        <f t="shared" si="4"/>
        <v>1</v>
      </c>
      <c r="L21" s="36">
        <f t="shared" si="5"/>
        <v>1</v>
      </c>
      <c r="M21" s="36">
        <f t="shared" si="6"/>
        <v>1</v>
      </c>
      <c r="N21" s="36">
        <f t="shared" si="7"/>
        <v>1</v>
      </c>
      <c r="O21" s="36">
        <f t="shared" si="8"/>
        <v>1</v>
      </c>
      <c r="P21" s="36">
        <f t="shared" si="9"/>
        <v>1</v>
      </c>
      <c r="Q21" s="36">
        <f t="shared" si="10"/>
        <v>1</v>
      </c>
      <c r="R21" s="36">
        <f t="shared" si="11"/>
        <v>1</v>
      </c>
      <c r="S21" s="37">
        <f t="shared" si="12"/>
        <v>12</v>
      </c>
    </row>
    <row r="22" spans="1:19" ht="18.649999999999999" customHeight="1" x14ac:dyDescent="0.35">
      <c r="A22" s="19" t="s">
        <v>79</v>
      </c>
      <c r="B22" s="20" t="s">
        <v>80</v>
      </c>
      <c r="C22" s="20" t="s">
        <v>270</v>
      </c>
      <c r="D22" s="19">
        <v>2</v>
      </c>
      <c r="E22" s="20" t="s">
        <v>280</v>
      </c>
      <c r="F22" s="20" t="s">
        <v>173</v>
      </c>
      <c r="G22" s="38">
        <f t="shared" si="0"/>
        <v>1</v>
      </c>
      <c r="H22" s="38">
        <f t="shared" si="1"/>
        <v>1</v>
      </c>
      <c r="I22" s="38">
        <f t="shared" si="2"/>
        <v>1</v>
      </c>
      <c r="J22" s="38">
        <f t="shared" si="3"/>
        <v>1</v>
      </c>
      <c r="K22" s="38">
        <f t="shared" si="4"/>
        <v>1</v>
      </c>
      <c r="L22" s="38">
        <f t="shared" si="5"/>
        <v>1</v>
      </c>
      <c r="M22" s="38">
        <f t="shared" si="6"/>
        <v>1</v>
      </c>
      <c r="N22" s="38">
        <f t="shared" si="7"/>
        <v>1</v>
      </c>
      <c r="O22" s="38">
        <f t="shared" si="8"/>
        <v>1</v>
      </c>
      <c r="P22" s="38">
        <f t="shared" si="9"/>
        <v>1</v>
      </c>
      <c r="Q22" s="38">
        <f t="shared" si="10"/>
        <v>1</v>
      </c>
      <c r="R22" s="38">
        <f t="shared" si="11"/>
        <v>1</v>
      </c>
      <c r="S22" s="39">
        <f t="shared" si="12"/>
        <v>12</v>
      </c>
    </row>
    <row r="23" spans="1:19" ht="18.649999999999999" customHeight="1" x14ac:dyDescent="0.35">
      <c r="A23" s="16" t="s">
        <v>75</v>
      </c>
      <c r="B23" s="15" t="s">
        <v>76</v>
      </c>
      <c r="C23" s="15" t="s">
        <v>285</v>
      </c>
      <c r="D23" s="16">
        <v>1</v>
      </c>
      <c r="E23" s="15" t="s">
        <v>286</v>
      </c>
      <c r="F23" s="15" t="s">
        <v>291</v>
      </c>
      <c r="G23" s="36">
        <f t="shared" si="0"/>
        <v>0</v>
      </c>
      <c r="H23" s="36">
        <f t="shared" si="1"/>
        <v>0</v>
      </c>
      <c r="I23" s="36">
        <f t="shared" si="2"/>
        <v>0</v>
      </c>
      <c r="J23" s="36">
        <f t="shared" si="3"/>
        <v>0</v>
      </c>
      <c r="K23" s="36">
        <f t="shared" si="4"/>
        <v>0</v>
      </c>
      <c r="L23" s="36">
        <f t="shared" si="5"/>
        <v>1</v>
      </c>
      <c r="M23" s="36">
        <f t="shared" si="6"/>
        <v>0</v>
      </c>
      <c r="N23" s="36">
        <f t="shared" si="7"/>
        <v>1</v>
      </c>
      <c r="O23" s="36">
        <f t="shared" si="8"/>
        <v>0</v>
      </c>
      <c r="P23" s="36">
        <f t="shared" si="9"/>
        <v>1</v>
      </c>
      <c r="Q23" s="36">
        <f t="shared" si="10"/>
        <v>0</v>
      </c>
      <c r="R23" s="36">
        <f t="shared" si="11"/>
        <v>1</v>
      </c>
      <c r="S23" s="37">
        <f t="shared" si="12"/>
        <v>4</v>
      </c>
    </row>
    <row r="24" spans="1:19" ht="18.649999999999999" customHeight="1" x14ac:dyDescent="0.35">
      <c r="A24" s="19" t="s">
        <v>75</v>
      </c>
      <c r="B24" s="20" t="s">
        <v>76</v>
      </c>
      <c r="C24" s="20" t="s">
        <v>285</v>
      </c>
      <c r="D24" s="19">
        <v>2</v>
      </c>
      <c r="E24" s="20" t="s">
        <v>296</v>
      </c>
      <c r="F24" s="20" t="s">
        <v>258</v>
      </c>
      <c r="G24" s="38">
        <f t="shared" si="0"/>
        <v>0</v>
      </c>
      <c r="H24" s="38">
        <f t="shared" si="1"/>
        <v>0</v>
      </c>
      <c r="I24" s="38">
        <f t="shared" si="2"/>
        <v>0</v>
      </c>
      <c r="J24" s="38">
        <f t="shared" si="3"/>
        <v>0</v>
      </c>
      <c r="K24" s="38">
        <f t="shared" si="4"/>
        <v>0</v>
      </c>
      <c r="L24" s="38">
        <f t="shared" si="5"/>
        <v>1</v>
      </c>
      <c r="M24" s="38">
        <f t="shared" si="6"/>
        <v>1</v>
      </c>
      <c r="N24" s="38">
        <f t="shared" si="7"/>
        <v>1</v>
      </c>
      <c r="O24" s="38">
        <f t="shared" si="8"/>
        <v>1</v>
      </c>
      <c r="P24" s="38">
        <f t="shared" si="9"/>
        <v>1</v>
      </c>
      <c r="Q24" s="38">
        <f t="shared" si="10"/>
        <v>1</v>
      </c>
      <c r="R24" s="38">
        <f t="shared" si="11"/>
        <v>1</v>
      </c>
      <c r="S24" s="39">
        <f t="shared" si="12"/>
        <v>7</v>
      </c>
    </row>
    <row r="25" spans="1:19" ht="18.649999999999999" customHeight="1" x14ac:dyDescent="0.35">
      <c r="A25" s="16" t="s">
        <v>81</v>
      </c>
      <c r="B25" s="15" t="s">
        <v>82</v>
      </c>
      <c r="C25" s="15" t="s">
        <v>302</v>
      </c>
      <c r="D25" s="16">
        <v>2</v>
      </c>
      <c r="E25" s="15" t="s">
        <v>855</v>
      </c>
      <c r="F25" s="15" t="s">
        <v>309</v>
      </c>
      <c r="G25" s="36">
        <f t="shared" si="0"/>
        <v>0</v>
      </c>
      <c r="H25" s="36">
        <f t="shared" si="1"/>
        <v>1</v>
      </c>
      <c r="I25" s="36">
        <f t="shared" si="2"/>
        <v>0</v>
      </c>
      <c r="J25" s="36">
        <f t="shared" si="3"/>
        <v>0</v>
      </c>
      <c r="K25" s="36">
        <f t="shared" si="4"/>
        <v>0</v>
      </c>
      <c r="L25" s="36">
        <f t="shared" si="5"/>
        <v>1</v>
      </c>
      <c r="M25" s="36">
        <f t="shared" si="6"/>
        <v>1</v>
      </c>
      <c r="N25" s="36">
        <f t="shared" si="7"/>
        <v>1</v>
      </c>
      <c r="O25" s="36">
        <f t="shared" si="8"/>
        <v>1</v>
      </c>
      <c r="P25" s="36">
        <f t="shared" si="9"/>
        <v>1</v>
      </c>
      <c r="Q25" s="36">
        <f t="shared" si="10"/>
        <v>1</v>
      </c>
      <c r="R25" s="36">
        <f t="shared" si="11"/>
        <v>1</v>
      </c>
      <c r="S25" s="37">
        <f t="shared" si="12"/>
        <v>8</v>
      </c>
    </row>
    <row r="26" spans="1:19" ht="18.649999999999999" customHeight="1" x14ac:dyDescent="0.35">
      <c r="A26" s="19" t="s">
        <v>81</v>
      </c>
      <c r="B26" s="20" t="s">
        <v>82</v>
      </c>
      <c r="C26" s="20" t="s">
        <v>302</v>
      </c>
      <c r="D26" s="19">
        <v>2</v>
      </c>
      <c r="E26" s="20" t="s">
        <v>312</v>
      </c>
      <c r="F26" s="20" t="s">
        <v>250</v>
      </c>
      <c r="G26" s="38">
        <f t="shared" si="0"/>
        <v>0</v>
      </c>
      <c r="H26" s="38">
        <f t="shared" si="1"/>
        <v>0</v>
      </c>
      <c r="I26" s="38">
        <f t="shared" si="2"/>
        <v>0</v>
      </c>
      <c r="J26" s="38">
        <f t="shared" si="3"/>
        <v>0</v>
      </c>
      <c r="K26" s="38">
        <f t="shared" si="4"/>
        <v>0</v>
      </c>
      <c r="L26" s="38">
        <f t="shared" si="5"/>
        <v>1</v>
      </c>
      <c r="M26" s="38">
        <f t="shared" si="6"/>
        <v>1</v>
      </c>
      <c r="N26" s="38">
        <f t="shared" si="7"/>
        <v>1</v>
      </c>
      <c r="O26" s="38">
        <f t="shared" si="8"/>
        <v>1</v>
      </c>
      <c r="P26" s="38">
        <f t="shared" si="9"/>
        <v>0</v>
      </c>
      <c r="Q26" s="38">
        <f t="shared" si="10"/>
        <v>0</v>
      </c>
      <c r="R26" s="38">
        <f t="shared" si="11"/>
        <v>0</v>
      </c>
      <c r="S26" s="39">
        <f t="shared" si="12"/>
        <v>4</v>
      </c>
    </row>
    <row r="27" spans="1:19" ht="18.649999999999999" customHeight="1" x14ac:dyDescent="0.35">
      <c r="A27" s="16" t="s">
        <v>77</v>
      </c>
      <c r="B27" s="15" t="s">
        <v>78</v>
      </c>
      <c r="C27" s="15" t="s">
        <v>318</v>
      </c>
      <c r="D27" s="16">
        <v>1</v>
      </c>
      <c r="E27" s="15" t="s">
        <v>319</v>
      </c>
      <c r="F27" s="15" t="s">
        <v>324</v>
      </c>
      <c r="G27" s="36">
        <f t="shared" si="0"/>
        <v>0</v>
      </c>
      <c r="H27" s="36">
        <f t="shared" si="1"/>
        <v>0</v>
      </c>
      <c r="I27" s="36">
        <f t="shared" si="2"/>
        <v>0</v>
      </c>
      <c r="J27" s="36">
        <f t="shared" si="3"/>
        <v>0</v>
      </c>
      <c r="K27" s="36">
        <f t="shared" si="4"/>
        <v>0</v>
      </c>
      <c r="L27" s="36">
        <f t="shared" si="5"/>
        <v>1</v>
      </c>
      <c r="M27" s="36">
        <f t="shared" si="6"/>
        <v>1</v>
      </c>
      <c r="N27" s="36">
        <f t="shared" si="7"/>
        <v>1</v>
      </c>
      <c r="O27" s="36">
        <f t="shared" si="8"/>
        <v>1</v>
      </c>
      <c r="P27" s="36">
        <f t="shared" si="9"/>
        <v>1</v>
      </c>
      <c r="Q27" s="36">
        <f t="shared" si="10"/>
        <v>1</v>
      </c>
      <c r="R27" s="36">
        <f t="shared" si="11"/>
        <v>0</v>
      </c>
      <c r="S27" s="37">
        <f t="shared" si="12"/>
        <v>6</v>
      </c>
    </row>
    <row r="28" spans="1:19" ht="18.649999999999999" customHeight="1" x14ac:dyDescent="0.35">
      <c r="A28" s="19" t="s">
        <v>77</v>
      </c>
      <c r="B28" s="20" t="s">
        <v>78</v>
      </c>
      <c r="C28" s="20" t="s">
        <v>329</v>
      </c>
      <c r="D28" s="19">
        <v>1</v>
      </c>
      <c r="E28" s="20" t="s">
        <v>330</v>
      </c>
      <c r="F28" s="20" t="s">
        <v>143</v>
      </c>
      <c r="G28" s="38">
        <f t="shared" si="0"/>
        <v>0</v>
      </c>
      <c r="H28" s="38">
        <f t="shared" si="1"/>
        <v>1</v>
      </c>
      <c r="I28" s="38">
        <f t="shared" si="2"/>
        <v>1</v>
      </c>
      <c r="J28" s="38">
        <f t="shared" si="3"/>
        <v>1</v>
      </c>
      <c r="K28" s="38">
        <f t="shared" si="4"/>
        <v>1</v>
      </c>
      <c r="L28" s="38">
        <f t="shared" si="5"/>
        <v>1</v>
      </c>
      <c r="M28" s="38">
        <f t="shared" si="6"/>
        <v>1</v>
      </c>
      <c r="N28" s="38">
        <f t="shared" si="7"/>
        <v>1</v>
      </c>
      <c r="O28" s="38">
        <f t="shared" si="8"/>
        <v>1</v>
      </c>
      <c r="P28" s="38">
        <f t="shared" si="9"/>
        <v>1</v>
      </c>
      <c r="Q28" s="38">
        <f t="shared" si="10"/>
        <v>1</v>
      </c>
      <c r="R28" s="38">
        <f t="shared" si="11"/>
        <v>1</v>
      </c>
      <c r="S28" s="39">
        <f t="shared" si="12"/>
        <v>11</v>
      </c>
    </row>
    <row r="29" spans="1:19" ht="18.649999999999999" customHeight="1" x14ac:dyDescent="0.35">
      <c r="A29" s="16" t="s">
        <v>77</v>
      </c>
      <c r="B29" s="15" t="s">
        <v>78</v>
      </c>
      <c r="C29" s="15" t="s">
        <v>329</v>
      </c>
      <c r="D29" s="16">
        <v>2</v>
      </c>
      <c r="E29" s="15" t="s">
        <v>337</v>
      </c>
      <c r="F29" s="15" t="s">
        <v>324</v>
      </c>
      <c r="G29" s="36">
        <f t="shared" si="0"/>
        <v>0</v>
      </c>
      <c r="H29" s="36">
        <f t="shared" si="1"/>
        <v>0</v>
      </c>
      <c r="I29" s="36">
        <f t="shared" si="2"/>
        <v>0</v>
      </c>
      <c r="J29" s="36">
        <f t="shared" si="3"/>
        <v>0</v>
      </c>
      <c r="K29" s="36">
        <f t="shared" si="4"/>
        <v>0</v>
      </c>
      <c r="L29" s="36">
        <f t="shared" si="5"/>
        <v>1</v>
      </c>
      <c r="M29" s="36">
        <f t="shared" si="6"/>
        <v>1</v>
      </c>
      <c r="N29" s="36">
        <f t="shared" si="7"/>
        <v>1</v>
      </c>
      <c r="O29" s="36">
        <f t="shared" si="8"/>
        <v>1</v>
      </c>
      <c r="P29" s="36">
        <f t="shared" si="9"/>
        <v>1</v>
      </c>
      <c r="Q29" s="36">
        <f t="shared" si="10"/>
        <v>1</v>
      </c>
      <c r="R29" s="36">
        <f t="shared" si="11"/>
        <v>0</v>
      </c>
      <c r="S29" s="37">
        <f t="shared" si="12"/>
        <v>6</v>
      </c>
    </row>
    <row r="30" spans="1:19" ht="18.649999999999999" customHeight="1" x14ac:dyDescent="0.35">
      <c r="A30" s="19" t="s">
        <v>83</v>
      </c>
      <c r="B30" s="20" t="s">
        <v>84</v>
      </c>
      <c r="C30" s="20" t="s">
        <v>343</v>
      </c>
      <c r="D30" s="19">
        <v>1</v>
      </c>
      <c r="E30" s="20" t="s">
        <v>856</v>
      </c>
      <c r="F30" s="20" t="s">
        <v>350</v>
      </c>
      <c r="G30" s="38">
        <f t="shared" si="0"/>
        <v>0</v>
      </c>
      <c r="H30" s="38">
        <f t="shared" si="1"/>
        <v>0</v>
      </c>
      <c r="I30" s="38">
        <f t="shared" si="2"/>
        <v>0</v>
      </c>
      <c r="J30" s="38">
        <f t="shared" si="3"/>
        <v>0</v>
      </c>
      <c r="K30" s="38">
        <f t="shared" si="4"/>
        <v>0</v>
      </c>
      <c r="L30" s="38">
        <f t="shared" si="5"/>
        <v>1</v>
      </c>
      <c r="M30" s="38">
        <f t="shared" si="6"/>
        <v>0</v>
      </c>
      <c r="N30" s="38">
        <f t="shared" si="7"/>
        <v>0</v>
      </c>
      <c r="O30" s="38">
        <f t="shared" si="8"/>
        <v>0</v>
      </c>
      <c r="P30" s="38">
        <f t="shared" si="9"/>
        <v>0</v>
      </c>
      <c r="Q30" s="38">
        <f t="shared" si="10"/>
        <v>1</v>
      </c>
      <c r="R30" s="38">
        <f t="shared" si="11"/>
        <v>0</v>
      </c>
      <c r="S30" s="39">
        <f t="shared" si="12"/>
        <v>2</v>
      </c>
    </row>
    <row r="31" spans="1:19" ht="18.649999999999999" customHeight="1" x14ac:dyDescent="0.35">
      <c r="A31" s="16" t="s">
        <v>83</v>
      </c>
      <c r="B31" s="15" t="s">
        <v>84</v>
      </c>
      <c r="C31" s="15" t="s">
        <v>343</v>
      </c>
      <c r="D31" s="16">
        <v>2</v>
      </c>
      <c r="E31" s="15" t="s">
        <v>353</v>
      </c>
      <c r="F31" s="15" t="s">
        <v>358</v>
      </c>
      <c r="G31" s="36">
        <f t="shared" si="0"/>
        <v>0</v>
      </c>
      <c r="H31" s="36">
        <f t="shared" si="1"/>
        <v>0</v>
      </c>
      <c r="I31" s="36">
        <f t="shared" si="2"/>
        <v>0</v>
      </c>
      <c r="J31" s="36">
        <f t="shared" si="3"/>
        <v>0</v>
      </c>
      <c r="K31" s="36">
        <f t="shared" si="4"/>
        <v>0</v>
      </c>
      <c r="L31" s="36">
        <f t="shared" si="5"/>
        <v>0</v>
      </c>
      <c r="M31" s="36">
        <f t="shared" si="6"/>
        <v>0</v>
      </c>
      <c r="N31" s="36">
        <f t="shared" si="7"/>
        <v>1</v>
      </c>
      <c r="O31" s="36">
        <f t="shared" si="8"/>
        <v>1</v>
      </c>
      <c r="P31" s="36">
        <f t="shared" si="9"/>
        <v>1</v>
      </c>
      <c r="Q31" s="36">
        <f t="shared" si="10"/>
        <v>1</v>
      </c>
      <c r="R31" s="36">
        <f t="shared" si="11"/>
        <v>1</v>
      </c>
      <c r="S31" s="37">
        <f t="shared" si="12"/>
        <v>5</v>
      </c>
    </row>
    <row r="32" spans="1:19" ht="18.649999999999999" customHeight="1" x14ac:dyDescent="0.35">
      <c r="A32" s="19" t="s">
        <v>83</v>
      </c>
      <c r="B32" s="20" t="s">
        <v>84</v>
      </c>
      <c r="C32" s="20" t="s">
        <v>343</v>
      </c>
      <c r="D32" s="19">
        <v>3</v>
      </c>
      <c r="E32" s="20" t="s">
        <v>359</v>
      </c>
      <c r="F32" s="20" t="s">
        <v>365</v>
      </c>
      <c r="G32" s="38">
        <f t="shared" si="0"/>
        <v>0</v>
      </c>
      <c r="H32" s="38">
        <f t="shared" si="1"/>
        <v>0</v>
      </c>
      <c r="I32" s="38">
        <f t="shared" si="2"/>
        <v>0</v>
      </c>
      <c r="J32" s="38">
        <f t="shared" si="3"/>
        <v>0</v>
      </c>
      <c r="K32" s="38">
        <f t="shared" si="4"/>
        <v>0</v>
      </c>
      <c r="L32" s="38">
        <f t="shared" si="5"/>
        <v>0</v>
      </c>
      <c r="M32" s="38">
        <f t="shared" si="6"/>
        <v>1</v>
      </c>
      <c r="N32" s="38">
        <f t="shared" si="7"/>
        <v>0</v>
      </c>
      <c r="O32" s="38">
        <f t="shared" si="8"/>
        <v>0</v>
      </c>
      <c r="P32" s="38">
        <f t="shared" si="9"/>
        <v>1</v>
      </c>
      <c r="Q32" s="38">
        <f t="shared" si="10"/>
        <v>1</v>
      </c>
      <c r="R32" s="38">
        <f t="shared" si="11"/>
        <v>0</v>
      </c>
      <c r="S32" s="39">
        <f t="shared" si="12"/>
        <v>3</v>
      </c>
    </row>
    <row r="33" spans="1:19" ht="18.649999999999999" customHeight="1" x14ac:dyDescent="0.35">
      <c r="A33" s="16" t="s">
        <v>83</v>
      </c>
      <c r="B33" s="15" t="s">
        <v>84</v>
      </c>
      <c r="C33" s="15" t="s">
        <v>343</v>
      </c>
      <c r="D33" s="16">
        <v>4</v>
      </c>
      <c r="E33" s="15" t="s">
        <v>366</v>
      </c>
      <c r="F33" s="15" t="s">
        <v>324</v>
      </c>
      <c r="G33" s="36">
        <f t="shared" si="0"/>
        <v>0</v>
      </c>
      <c r="H33" s="36">
        <f t="shared" si="1"/>
        <v>0</v>
      </c>
      <c r="I33" s="36">
        <f t="shared" si="2"/>
        <v>0</v>
      </c>
      <c r="J33" s="36">
        <f t="shared" si="3"/>
        <v>0</v>
      </c>
      <c r="K33" s="36">
        <f t="shared" si="4"/>
        <v>0</v>
      </c>
      <c r="L33" s="36">
        <f t="shared" si="5"/>
        <v>1</v>
      </c>
      <c r="M33" s="36">
        <f t="shared" si="6"/>
        <v>1</v>
      </c>
      <c r="N33" s="36">
        <f t="shared" si="7"/>
        <v>1</v>
      </c>
      <c r="O33" s="36">
        <f t="shared" si="8"/>
        <v>1</v>
      </c>
      <c r="P33" s="36">
        <f t="shared" si="9"/>
        <v>1</v>
      </c>
      <c r="Q33" s="36">
        <f t="shared" si="10"/>
        <v>1</v>
      </c>
      <c r="R33" s="36">
        <f t="shared" si="11"/>
        <v>0</v>
      </c>
      <c r="S33" s="37">
        <f t="shared" si="12"/>
        <v>6</v>
      </c>
    </row>
    <row r="34" spans="1:19" ht="18.649999999999999" customHeight="1" x14ac:dyDescent="0.35">
      <c r="A34" s="19" t="s">
        <v>83</v>
      </c>
      <c r="B34" s="20" t="s">
        <v>84</v>
      </c>
      <c r="C34" s="20" t="s">
        <v>343</v>
      </c>
      <c r="D34" s="19">
        <v>5</v>
      </c>
      <c r="E34" s="20" t="s">
        <v>372</v>
      </c>
      <c r="F34" s="20" t="s">
        <v>378</v>
      </c>
      <c r="G34" s="38">
        <f t="shared" si="0"/>
        <v>0</v>
      </c>
      <c r="H34" s="38">
        <f t="shared" si="1"/>
        <v>1</v>
      </c>
      <c r="I34" s="38">
        <f t="shared" si="2"/>
        <v>1</v>
      </c>
      <c r="J34" s="38">
        <f t="shared" si="3"/>
        <v>1</v>
      </c>
      <c r="K34" s="38">
        <f t="shared" si="4"/>
        <v>1</v>
      </c>
      <c r="L34" s="38">
        <f t="shared" si="5"/>
        <v>1</v>
      </c>
      <c r="M34" s="38">
        <f t="shared" si="6"/>
        <v>1</v>
      </c>
      <c r="N34" s="38">
        <f t="shared" si="7"/>
        <v>1</v>
      </c>
      <c r="O34" s="38">
        <f t="shared" si="8"/>
        <v>1</v>
      </c>
      <c r="P34" s="38">
        <f t="shared" si="9"/>
        <v>1</v>
      </c>
      <c r="Q34" s="38">
        <f t="shared" si="10"/>
        <v>1</v>
      </c>
      <c r="R34" s="38">
        <f t="shared" si="11"/>
        <v>0</v>
      </c>
      <c r="S34" s="39">
        <f t="shared" si="12"/>
        <v>10</v>
      </c>
    </row>
    <row r="35" spans="1:19" ht="18.649999999999999" customHeight="1" x14ac:dyDescent="0.35">
      <c r="A35" s="16" t="s">
        <v>83</v>
      </c>
      <c r="B35" s="15" t="s">
        <v>84</v>
      </c>
      <c r="C35" s="15" t="s">
        <v>343</v>
      </c>
      <c r="D35" s="16">
        <v>6</v>
      </c>
      <c r="E35" s="15" t="s">
        <v>379</v>
      </c>
      <c r="F35" s="15" t="s">
        <v>173</v>
      </c>
      <c r="G35" s="36">
        <f t="shared" si="0"/>
        <v>1</v>
      </c>
      <c r="H35" s="36">
        <f t="shared" si="1"/>
        <v>1</v>
      </c>
      <c r="I35" s="36">
        <f t="shared" si="2"/>
        <v>1</v>
      </c>
      <c r="J35" s="36">
        <f t="shared" si="3"/>
        <v>1</v>
      </c>
      <c r="K35" s="36">
        <f t="shared" si="4"/>
        <v>1</v>
      </c>
      <c r="L35" s="36">
        <f t="shared" si="5"/>
        <v>1</v>
      </c>
      <c r="M35" s="36">
        <f t="shared" si="6"/>
        <v>1</v>
      </c>
      <c r="N35" s="36">
        <f t="shared" si="7"/>
        <v>1</v>
      </c>
      <c r="O35" s="36">
        <f t="shared" si="8"/>
        <v>1</v>
      </c>
      <c r="P35" s="36">
        <f t="shared" si="9"/>
        <v>1</v>
      </c>
      <c r="Q35" s="36">
        <f t="shared" si="10"/>
        <v>1</v>
      </c>
      <c r="R35" s="36">
        <f t="shared" si="11"/>
        <v>1</v>
      </c>
      <c r="S35" s="37">
        <f t="shared" si="12"/>
        <v>12</v>
      </c>
    </row>
  </sheetData>
  <mergeCells count="2">
    <mergeCell ref="A1:O1"/>
    <mergeCell ref="A2:O2"/>
  </mergeCells>
  <conditionalFormatting sqref="G5:R35">
    <cfRule type="cellIs" dxfId="0" priority="1" operator="equal">
      <formula>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3"/>
  <sheetViews>
    <sheetView workbookViewId="0">
      <selection sqref="A1:H1"/>
    </sheetView>
  </sheetViews>
  <sheetFormatPr baseColWidth="10" defaultColWidth="8.7265625" defaultRowHeight="14.5" x14ac:dyDescent="0.35"/>
  <cols>
    <col min="1" max="1" width="28" customWidth="1"/>
    <col min="2" max="2" width="24" customWidth="1"/>
    <col min="3" max="3" width="16" customWidth="1"/>
    <col min="4" max="4" width="22" customWidth="1"/>
    <col min="5" max="5" width="36" customWidth="1"/>
    <col min="6" max="6" width="30" customWidth="1"/>
    <col min="7" max="7" width="28" customWidth="1"/>
  </cols>
  <sheetData>
    <row r="1" spans="1:8" ht="16" customHeight="1" x14ac:dyDescent="0.35">
      <c r="A1" s="40" t="s">
        <v>858</v>
      </c>
      <c r="B1" s="41"/>
      <c r="C1" s="41"/>
      <c r="D1" s="41"/>
      <c r="E1" s="41"/>
      <c r="F1" s="41"/>
      <c r="G1" s="41"/>
      <c r="H1" s="41"/>
    </row>
    <row r="2" spans="1:8" ht="18.649999999999999" customHeight="1" x14ac:dyDescent="0.35">
      <c r="A2" s="45" t="s">
        <v>859</v>
      </c>
      <c r="B2" s="41"/>
      <c r="C2" s="41"/>
      <c r="D2" s="41"/>
      <c r="E2" s="41"/>
      <c r="F2" s="41"/>
      <c r="G2" s="41"/>
      <c r="H2" s="41"/>
    </row>
    <row r="4" spans="1:8" ht="21.4" customHeight="1" x14ac:dyDescent="0.35">
      <c r="A4" s="14" t="s">
        <v>860</v>
      </c>
      <c r="B4" s="14" t="s">
        <v>861</v>
      </c>
      <c r="C4" s="14" t="s">
        <v>862</v>
      </c>
      <c r="D4" s="14" t="s">
        <v>863</v>
      </c>
      <c r="E4" s="14" t="s">
        <v>864</v>
      </c>
      <c r="F4" s="14" t="s">
        <v>865</v>
      </c>
      <c r="G4" s="14" t="s">
        <v>866</v>
      </c>
    </row>
    <row r="5" spans="1:8" ht="18.649999999999999" customHeight="1" x14ac:dyDescent="0.35">
      <c r="A5" s="16" t="s">
        <v>24</v>
      </c>
      <c r="B5" s="15" t="s">
        <v>867</v>
      </c>
      <c r="C5" s="16" t="s">
        <v>47</v>
      </c>
      <c r="D5" s="15" t="s">
        <v>46</v>
      </c>
      <c r="E5" s="15" t="s">
        <v>868</v>
      </c>
      <c r="F5" s="15" t="s">
        <v>869</v>
      </c>
      <c r="G5" s="15" t="s">
        <v>870</v>
      </c>
      <c r="H5" s="35"/>
    </row>
    <row r="6" spans="1:8" ht="18.649999999999999" customHeight="1" x14ac:dyDescent="0.35">
      <c r="A6" s="19" t="s">
        <v>27</v>
      </c>
      <c r="B6" s="20" t="s">
        <v>871</v>
      </c>
      <c r="C6" s="19" t="s">
        <v>872</v>
      </c>
      <c r="D6" s="20" t="s">
        <v>873</v>
      </c>
      <c r="E6" s="20" t="s">
        <v>874</v>
      </c>
      <c r="F6" s="20" t="s">
        <v>875</v>
      </c>
      <c r="G6" s="20" t="s">
        <v>876</v>
      </c>
      <c r="H6" s="35"/>
    </row>
    <row r="7" spans="1:8" ht="18.649999999999999" customHeight="1" x14ac:dyDescent="0.35">
      <c r="A7" s="16" t="s">
        <v>29</v>
      </c>
      <c r="B7" s="15" t="s">
        <v>877</v>
      </c>
      <c r="C7" s="16" t="s">
        <v>878</v>
      </c>
      <c r="D7" s="15" t="s">
        <v>879</v>
      </c>
      <c r="E7" s="15" t="s">
        <v>880</v>
      </c>
      <c r="F7" s="15" t="s">
        <v>881</v>
      </c>
      <c r="G7" s="15" t="s">
        <v>882</v>
      </c>
      <c r="H7" s="35"/>
    </row>
    <row r="8" spans="1:8" ht="18.649999999999999" customHeight="1" x14ac:dyDescent="0.35">
      <c r="A8" s="19" t="s">
        <v>31</v>
      </c>
      <c r="B8" s="20" t="s">
        <v>883</v>
      </c>
      <c r="C8" s="19" t="s">
        <v>857</v>
      </c>
      <c r="D8" s="20" t="s">
        <v>884</v>
      </c>
      <c r="E8" s="20" t="s">
        <v>885</v>
      </c>
      <c r="F8" s="20" t="s">
        <v>886</v>
      </c>
      <c r="G8" s="20" t="s">
        <v>887</v>
      </c>
      <c r="H8" s="35"/>
    </row>
    <row r="9" spans="1:8" ht="18.649999999999999" customHeight="1" x14ac:dyDescent="0.35">
      <c r="A9" s="16" t="s">
        <v>33</v>
      </c>
      <c r="B9" s="15" t="s">
        <v>888</v>
      </c>
      <c r="C9" s="16" t="s">
        <v>889</v>
      </c>
      <c r="D9" s="15" t="s">
        <v>890</v>
      </c>
      <c r="E9" s="15" t="s">
        <v>891</v>
      </c>
      <c r="F9" s="15" t="s">
        <v>892</v>
      </c>
      <c r="G9" s="15" t="s">
        <v>893</v>
      </c>
      <c r="H9" s="35"/>
    </row>
    <row r="10" spans="1:8" ht="18.649999999999999" customHeight="1" x14ac:dyDescent="0.35">
      <c r="A10" s="19" t="s">
        <v>7</v>
      </c>
      <c r="B10" s="20" t="s">
        <v>894</v>
      </c>
      <c r="C10" s="19" t="s">
        <v>895</v>
      </c>
      <c r="D10" s="20" t="s">
        <v>117</v>
      </c>
      <c r="E10" s="20" t="s">
        <v>896</v>
      </c>
      <c r="F10" s="20" t="s">
        <v>897</v>
      </c>
      <c r="G10" s="20" t="s">
        <v>898</v>
      </c>
      <c r="H10" s="35"/>
    </row>
    <row r="11" spans="1:8" ht="18.649999999999999" customHeight="1" x14ac:dyDescent="0.35">
      <c r="A11" s="16" t="s">
        <v>11</v>
      </c>
      <c r="B11" s="15" t="s">
        <v>899</v>
      </c>
      <c r="C11" s="16" t="s">
        <v>900</v>
      </c>
      <c r="D11" s="15" t="s">
        <v>387</v>
      </c>
      <c r="E11" s="15" t="s">
        <v>901</v>
      </c>
      <c r="F11" s="15" t="s">
        <v>902</v>
      </c>
      <c r="G11" s="15" t="s">
        <v>903</v>
      </c>
      <c r="H11" s="35"/>
    </row>
    <row r="12" spans="1:8" ht="18.649999999999999" customHeight="1" x14ac:dyDescent="0.35">
      <c r="A12" s="19" t="s">
        <v>15</v>
      </c>
      <c r="B12" s="20" t="s">
        <v>904</v>
      </c>
      <c r="C12" s="19" t="s">
        <v>905</v>
      </c>
      <c r="D12" s="20" t="s">
        <v>906</v>
      </c>
      <c r="E12" s="20" t="s">
        <v>907</v>
      </c>
      <c r="F12" s="20" t="s">
        <v>908</v>
      </c>
      <c r="G12" s="20" t="s">
        <v>909</v>
      </c>
      <c r="H12" s="35"/>
    </row>
    <row r="13" spans="1:8" ht="18.649999999999999" customHeight="1" x14ac:dyDescent="0.35">
      <c r="A13" s="16" t="s">
        <v>18</v>
      </c>
      <c r="B13" s="15" t="s">
        <v>910</v>
      </c>
      <c r="C13" s="16" t="s">
        <v>911</v>
      </c>
      <c r="D13" s="15" t="s">
        <v>906</v>
      </c>
      <c r="E13" s="15" t="s">
        <v>912</v>
      </c>
      <c r="F13" s="15" t="s">
        <v>913</v>
      </c>
      <c r="G13" s="15" t="s">
        <v>914</v>
      </c>
      <c r="H13" s="35"/>
    </row>
  </sheetData>
  <mergeCells count="2">
    <mergeCell ref="A2:H2"/>
    <mergeCell ref="A1:H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5"/>
  <sheetViews>
    <sheetView workbookViewId="0"/>
  </sheetViews>
  <sheetFormatPr baseColWidth="10" defaultColWidth="8.7265625" defaultRowHeight="14.5" x14ac:dyDescent="0.35"/>
  <cols>
    <col min="1" max="1" width="10" customWidth="1"/>
    <col min="2" max="2" width="40" customWidth="1"/>
    <col min="3" max="3" width="30" customWidth="1"/>
    <col min="4" max="4" width="8" customWidth="1"/>
    <col min="5" max="5" width="12" customWidth="1"/>
    <col min="6" max="6" width="10" customWidth="1"/>
    <col min="7" max="10" width="8" customWidth="1"/>
    <col min="11" max="11" width="40" customWidth="1"/>
    <col min="12" max="12" width="30" customWidth="1"/>
    <col min="13" max="13" width="25" customWidth="1"/>
    <col min="14" max="14" width="20" customWidth="1"/>
    <col min="15" max="15" width="35" customWidth="1"/>
  </cols>
  <sheetData>
    <row r="1" spans="1:15" ht="26" x14ac:dyDescent="0.35">
      <c r="A1" s="1" t="s">
        <v>46</v>
      </c>
      <c r="B1" s="1" t="s">
        <v>915</v>
      </c>
      <c r="C1" s="1" t="s">
        <v>916</v>
      </c>
      <c r="D1" s="1" t="s">
        <v>917</v>
      </c>
      <c r="E1" s="1" t="s">
        <v>918</v>
      </c>
      <c r="F1" s="1" t="s">
        <v>919</v>
      </c>
      <c r="G1" s="1" t="s">
        <v>920</v>
      </c>
      <c r="H1" s="1" t="s">
        <v>921</v>
      </c>
      <c r="I1" s="1" t="s">
        <v>49</v>
      </c>
      <c r="J1" s="1" t="s">
        <v>48</v>
      </c>
      <c r="K1" s="1" t="s">
        <v>922</v>
      </c>
      <c r="L1" s="1" t="s">
        <v>923</v>
      </c>
      <c r="M1" s="1" t="s">
        <v>924</v>
      </c>
      <c r="N1" s="1" t="s">
        <v>925</v>
      </c>
      <c r="O1" s="1" t="s">
        <v>926</v>
      </c>
    </row>
    <row r="2" spans="1:15" ht="116" x14ac:dyDescent="0.35">
      <c r="A2" s="2" t="s">
        <v>55</v>
      </c>
      <c r="B2" s="2" t="s">
        <v>56</v>
      </c>
      <c r="C2" s="2" t="s">
        <v>251</v>
      </c>
      <c r="D2" s="2" t="s">
        <v>125</v>
      </c>
      <c r="E2" s="2" t="s">
        <v>927</v>
      </c>
      <c r="F2" s="2">
        <v>4</v>
      </c>
      <c r="G2" s="2" t="s">
        <v>58</v>
      </c>
      <c r="H2" s="2" t="s">
        <v>58</v>
      </c>
      <c r="I2" s="2" t="s">
        <v>58</v>
      </c>
      <c r="J2" s="2" t="s">
        <v>57</v>
      </c>
      <c r="K2" s="2" t="s">
        <v>928</v>
      </c>
      <c r="L2" s="2" t="s">
        <v>262</v>
      </c>
      <c r="M2" s="2" t="s">
        <v>929</v>
      </c>
      <c r="N2" s="2" t="s">
        <v>929</v>
      </c>
      <c r="O2" s="2" t="s">
        <v>929</v>
      </c>
    </row>
    <row r="3" spans="1:15" ht="116" x14ac:dyDescent="0.35">
      <c r="A3" s="3" t="s">
        <v>60</v>
      </c>
      <c r="B3" s="3" t="s">
        <v>61</v>
      </c>
      <c r="C3" s="3" t="s">
        <v>164</v>
      </c>
      <c r="D3" s="3" t="s">
        <v>125</v>
      </c>
      <c r="E3" s="3" t="s">
        <v>927</v>
      </c>
      <c r="F3" s="3">
        <v>4</v>
      </c>
      <c r="G3" s="3" t="s">
        <v>58</v>
      </c>
      <c r="H3" s="3" t="s">
        <v>58</v>
      </c>
      <c r="I3" s="3" t="s">
        <v>58</v>
      </c>
      <c r="J3" s="3" t="s">
        <v>57</v>
      </c>
      <c r="K3" s="3" t="s">
        <v>930</v>
      </c>
      <c r="L3" s="3" t="s">
        <v>177</v>
      </c>
      <c r="M3" s="3" t="s">
        <v>929</v>
      </c>
      <c r="N3" s="3" t="s">
        <v>929</v>
      </c>
      <c r="O3" s="3" t="s">
        <v>929</v>
      </c>
    </row>
    <row r="4" spans="1:15" ht="101.5" x14ac:dyDescent="0.35">
      <c r="A4" s="2" t="s">
        <v>63</v>
      </c>
      <c r="B4" s="2" t="s">
        <v>64</v>
      </c>
      <c r="C4" s="2" t="s">
        <v>144</v>
      </c>
      <c r="D4" s="2" t="s">
        <v>145</v>
      </c>
      <c r="E4" s="2" t="s">
        <v>927</v>
      </c>
      <c r="F4" s="2">
        <v>4</v>
      </c>
      <c r="G4" s="2" t="s">
        <v>58</v>
      </c>
      <c r="H4" s="2" t="s">
        <v>58</v>
      </c>
      <c r="I4" s="2" t="s">
        <v>58</v>
      </c>
      <c r="J4" s="2" t="s">
        <v>57</v>
      </c>
      <c r="K4" s="2" t="s">
        <v>931</v>
      </c>
      <c r="L4" s="2" t="s">
        <v>157</v>
      </c>
      <c r="M4" s="2" t="s">
        <v>929</v>
      </c>
      <c r="N4" s="2" t="s">
        <v>929</v>
      </c>
      <c r="O4" s="2" t="s">
        <v>929</v>
      </c>
    </row>
    <row r="5" spans="1:15" ht="116" x14ac:dyDescent="0.35">
      <c r="A5" s="3" t="s">
        <v>66</v>
      </c>
      <c r="B5" s="3" t="s">
        <v>67</v>
      </c>
      <c r="C5" s="3" t="s">
        <v>124</v>
      </c>
      <c r="D5" s="3" t="s">
        <v>125</v>
      </c>
      <c r="E5" s="3" t="s">
        <v>927</v>
      </c>
      <c r="F5" s="3">
        <v>4</v>
      </c>
      <c r="G5" s="3" t="s">
        <v>58</v>
      </c>
      <c r="H5" s="3" t="s">
        <v>58</v>
      </c>
      <c r="I5" s="3" t="s">
        <v>58</v>
      </c>
      <c r="J5" s="3" t="s">
        <v>57</v>
      </c>
      <c r="K5" s="3" t="s">
        <v>932</v>
      </c>
      <c r="L5" s="3" t="s">
        <v>137</v>
      </c>
      <c r="M5" s="3" t="s">
        <v>929</v>
      </c>
      <c r="N5" s="3" t="s">
        <v>929</v>
      </c>
      <c r="O5" s="3" t="s">
        <v>929</v>
      </c>
    </row>
    <row r="6" spans="1:15" ht="116" x14ac:dyDescent="0.35">
      <c r="A6" s="2" t="s">
        <v>68</v>
      </c>
      <c r="B6" s="2" t="s">
        <v>69</v>
      </c>
      <c r="C6" s="2" t="s">
        <v>215</v>
      </c>
      <c r="D6" s="2" t="s">
        <v>125</v>
      </c>
      <c r="E6" s="2" t="s">
        <v>927</v>
      </c>
      <c r="F6" s="2">
        <v>4</v>
      </c>
      <c r="G6" s="2" t="s">
        <v>58</v>
      </c>
      <c r="H6" s="2" t="s">
        <v>58</v>
      </c>
      <c r="I6" s="2" t="s">
        <v>58</v>
      </c>
      <c r="J6" s="2" t="s">
        <v>57</v>
      </c>
      <c r="K6" s="2" t="s">
        <v>933</v>
      </c>
      <c r="L6" s="2" t="s">
        <v>227</v>
      </c>
      <c r="M6" s="2" t="s">
        <v>929</v>
      </c>
      <c r="N6" s="2" t="s">
        <v>929</v>
      </c>
      <c r="O6" s="2" t="s">
        <v>929</v>
      </c>
    </row>
    <row r="7" spans="1:15" ht="116" x14ac:dyDescent="0.35">
      <c r="A7" s="3" t="s">
        <v>70</v>
      </c>
      <c r="B7" s="3" t="s">
        <v>71</v>
      </c>
      <c r="C7" s="3" t="s">
        <v>934</v>
      </c>
      <c r="D7" s="3" t="s">
        <v>125</v>
      </c>
      <c r="E7" s="3" t="s">
        <v>927</v>
      </c>
      <c r="F7" s="3">
        <v>4</v>
      </c>
      <c r="G7" s="3" t="s">
        <v>58</v>
      </c>
      <c r="H7" s="3" t="s">
        <v>58</v>
      </c>
      <c r="I7" s="3" t="s">
        <v>72</v>
      </c>
      <c r="J7" s="3" t="s">
        <v>57</v>
      </c>
      <c r="K7" s="3" t="s">
        <v>935</v>
      </c>
      <c r="L7" s="3" t="s">
        <v>936</v>
      </c>
      <c r="M7" s="3" t="s">
        <v>929</v>
      </c>
      <c r="N7" s="3" t="s">
        <v>929</v>
      </c>
      <c r="O7" s="3" t="s">
        <v>929</v>
      </c>
    </row>
    <row r="8" spans="1:15" ht="116" x14ac:dyDescent="0.35">
      <c r="A8" s="2" t="s">
        <v>73</v>
      </c>
      <c r="B8" s="2" t="s">
        <v>74</v>
      </c>
      <c r="C8" s="2" t="s">
        <v>233</v>
      </c>
      <c r="D8" s="2" t="s">
        <v>125</v>
      </c>
      <c r="E8" s="2" t="s">
        <v>927</v>
      </c>
      <c r="F8" s="2">
        <v>4</v>
      </c>
      <c r="G8" s="2" t="s">
        <v>58</v>
      </c>
      <c r="H8" s="2" t="s">
        <v>58</v>
      </c>
      <c r="I8" s="2" t="s">
        <v>58</v>
      </c>
      <c r="J8" s="2" t="s">
        <v>57</v>
      </c>
      <c r="K8" s="2" t="s">
        <v>937</v>
      </c>
      <c r="L8" s="2" t="s">
        <v>244</v>
      </c>
      <c r="M8" s="2" t="s">
        <v>929</v>
      </c>
      <c r="N8" s="2" t="s">
        <v>929</v>
      </c>
      <c r="O8" s="2" t="s">
        <v>929</v>
      </c>
    </row>
    <row r="9" spans="1:15" ht="116" x14ac:dyDescent="0.35">
      <c r="A9" s="3" t="s">
        <v>75</v>
      </c>
      <c r="B9" s="3" t="s">
        <v>76</v>
      </c>
      <c r="C9" s="3" t="s">
        <v>284</v>
      </c>
      <c r="D9" s="3" t="s">
        <v>125</v>
      </c>
      <c r="E9" s="3" t="s">
        <v>927</v>
      </c>
      <c r="F9" s="3">
        <v>4</v>
      </c>
      <c r="G9" s="3" t="s">
        <v>58</v>
      </c>
      <c r="H9" s="3" t="s">
        <v>58</v>
      </c>
      <c r="I9" s="3" t="s">
        <v>58</v>
      </c>
      <c r="J9" s="3" t="s">
        <v>57</v>
      </c>
      <c r="K9" s="3" t="s">
        <v>938</v>
      </c>
      <c r="L9" s="3" t="s">
        <v>295</v>
      </c>
      <c r="M9" s="3" t="s">
        <v>929</v>
      </c>
      <c r="N9" s="3" t="s">
        <v>929</v>
      </c>
      <c r="O9" s="3" t="s">
        <v>929</v>
      </c>
    </row>
    <row r="10" spans="1:15" ht="116" x14ac:dyDescent="0.35">
      <c r="A10" s="2" t="s">
        <v>77</v>
      </c>
      <c r="B10" s="2" t="s">
        <v>78</v>
      </c>
      <c r="C10" s="2" t="s">
        <v>317</v>
      </c>
      <c r="D10" s="2" t="s">
        <v>125</v>
      </c>
      <c r="E10" s="2" t="s">
        <v>927</v>
      </c>
      <c r="F10" s="2">
        <v>4</v>
      </c>
      <c r="G10" s="2" t="s">
        <v>58</v>
      </c>
      <c r="H10" s="2" t="s">
        <v>58</v>
      </c>
      <c r="I10" s="2" t="s">
        <v>58</v>
      </c>
      <c r="J10" s="2" t="s">
        <v>57</v>
      </c>
      <c r="K10" s="2" t="s">
        <v>939</v>
      </c>
      <c r="L10" s="2" t="s">
        <v>328</v>
      </c>
      <c r="M10" s="2" t="s">
        <v>929</v>
      </c>
      <c r="N10" s="2" t="s">
        <v>929</v>
      </c>
      <c r="O10" s="2" t="s">
        <v>929</v>
      </c>
    </row>
    <row r="11" spans="1:15" ht="116" x14ac:dyDescent="0.35">
      <c r="A11" s="3" t="s">
        <v>79</v>
      </c>
      <c r="B11" s="3" t="s">
        <v>80</v>
      </c>
      <c r="C11" s="3" t="s">
        <v>269</v>
      </c>
      <c r="D11" s="3" t="s">
        <v>125</v>
      </c>
      <c r="E11" s="3" t="s">
        <v>927</v>
      </c>
      <c r="F11" s="3">
        <v>4</v>
      </c>
      <c r="G11" s="3" t="s">
        <v>58</v>
      </c>
      <c r="H11" s="3" t="s">
        <v>58</v>
      </c>
      <c r="I11" s="3" t="s">
        <v>58</v>
      </c>
      <c r="J11" s="3" t="s">
        <v>57</v>
      </c>
      <c r="K11" s="3" t="s">
        <v>940</v>
      </c>
      <c r="L11" s="3" t="s">
        <v>279</v>
      </c>
      <c r="M11" s="3" t="s">
        <v>929</v>
      </c>
      <c r="N11" s="3" t="s">
        <v>929</v>
      </c>
      <c r="O11" s="3" t="s">
        <v>929</v>
      </c>
    </row>
    <row r="12" spans="1:15" ht="101.5" x14ac:dyDescent="0.35">
      <c r="A12" s="2" t="s">
        <v>81</v>
      </c>
      <c r="B12" s="2" t="s">
        <v>82</v>
      </c>
      <c r="C12" s="2" t="s">
        <v>301</v>
      </c>
      <c r="D12" s="2" t="s">
        <v>125</v>
      </c>
      <c r="E12" s="2" t="s">
        <v>927</v>
      </c>
      <c r="F12" s="2">
        <v>4</v>
      </c>
      <c r="G12" s="2" t="s">
        <v>58</v>
      </c>
      <c r="H12" s="2" t="s">
        <v>58</v>
      </c>
      <c r="I12" s="2" t="s">
        <v>58</v>
      </c>
      <c r="J12" s="2" t="s">
        <v>57</v>
      </c>
      <c r="K12" s="2" t="s">
        <v>941</v>
      </c>
      <c r="L12" s="2" t="s">
        <v>137</v>
      </c>
      <c r="M12" s="2" t="s">
        <v>929</v>
      </c>
      <c r="N12" s="2" t="s">
        <v>929</v>
      </c>
      <c r="O12" s="2" t="s">
        <v>929</v>
      </c>
    </row>
    <row r="13" spans="1:15" ht="116" x14ac:dyDescent="0.35">
      <c r="A13" s="3" t="s">
        <v>83</v>
      </c>
      <c r="B13" s="3" t="s">
        <v>84</v>
      </c>
      <c r="C13" s="3" t="s">
        <v>342</v>
      </c>
      <c r="D13" s="3" t="s">
        <v>125</v>
      </c>
      <c r="E13" s="3" t="s">
        <v>927</v>
      </c>
      <c r="F13" s="3">
        <v>4</v>
      </c>
      <c r="G13" s="3" t="s">
        <v>58</v>
      </c>
      <c r="H13" s="3" t="s">
        <v>58</v>
      </c>
      <c r="I13" s="3" t="s">
        <v>58</v>
      </c>
      <c r="J13" s="3" t="s">
        <v>57</v>
      </c>
      <c r="K13" s="3" t="s">
        <v>942</v>
      </c>
      <c r="L13" s="3" t="s">
        <v>352</v>
      </c>
      <c r="M13" s="3" t="s">
        <v>929</v>
      </c>
      <c r="N13" s="3" t="s">
        <v>929</v>
      </c>
      <c r="O13" s="3" t="s">
        <v>929</v>
      </c>
    </row>
    <row r="14" spans="1:15" ht="101.5" x14ac:dyDescent="0.35">
      <c r="A14" s="2" t="s">
        <v>85</v>
      </c>
      <c r="B14" s="2" t="s">
        <v>86</v>
      </c>
      <c r="C14" s="2" t="s">
        <v>943</v>
      </c>
      <c r="D14" s="2" t="s">
        <v>185</v>
      </c>
      <c r="E14" s="2" t="s">
        <v>944</v>
      </c>
      <c r="F14" s="2">
        <v>5</v>
      </c>
      <c r="G14" s="2" t="s">
        <v>58</v>
      </c>
      <c r="H14" s="2" t="s">
        <v>58</v>
      </c>
      <c r="I14" s="2" t="s">
        <v>72</v>
      </c>
      <c r="J14" s="2" t="s">
        <v>57</v>
      </c>
      <c r="K14" s="2" t="s">
        <v>945</v>
      </c>
      <c r="L14" s="2" t="s">
        <v>137</v>
      </c>
      <c r="M14" s="2" t="s">
        <v>929</v>
      </c>
      <c r="N14" s="2" t="s">
        <v>929</v>
      </c>
      <c r="O14" s="2" t="s">
        <v>929</v>
      </c>
    </row>
    <row r="15" spans="1:15" ht="116" x14ac:dyDescent="0.35">
      <c r="A15" s="3" t="s">
        <v>87</v>
      </c>
      <c r="B15" s="3" t="s">
        <v>88</v>
      </c>
      <c r="C15" s="3" t="s">
        <v>184</v>
      </c>
      <c r="D15" s="3" t="s">
        <v>185</v>
      </c>
      <c r="E15" s="3" t="s">
        <v>946</v>
      </c>
      <c r="F15" s="3">
        <v>5</v>
      </c>
      <c r="G15" s="3" t="s">
        <v>58</v>
      </c>
      <c r="H15" s="3" t="s">
        <v>58</v>
      </c>
      <c r="I15" s="3" t="s">
        <v>58</v>
      </c>
      <c r="J15" s="3" t="s">
        <v>57</v>
      </c>
      <c r="K15" s="3" t="s">
        <v>947</v>
      </c>
      <c r="L15" s="3" t="s">
        <v>195</v>
      </c>
      <c r="M15" s="3" t="s">
        <v>929</v>
      </c>
      <c r="N15" s="3" t="s">
        <v>929</v>
      </c>
      <c r="O15" s="3" t="s">
        <v>929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01"/>
  <sheetViews>
    <sheetView topLeftCell="A98" workbookViewId="0">
      <selection activeCell="E4" sqref="E4"/>
    </sheetView>
  </sheetViews>
  <sheetFormatPr baseColWidth="10" defaultColWidth="8.7265625" defaultRowHeight="14.5" x14ac:dyDescent="0.35"/>
  <cols>
    <col min="1" max="1" width="12" customWidth="1"/>
    <col min="2" max="2" width="40" customWidth="1"/>
    <col min="3" max="4" width="8" customWidth="1"/>
    <col min="5" max="5" width="12" customWidth="1"/>
    <col min="6" max="6" width="10" customWidth="1"/>
    <col min="7" max="8" width="8" customWidth="1"/>
    <col min="9" max="9" width="50" customWidth="1"/>
  </cols>
  <sheetData>
    <row r="1" spans="1:9" ht="26" x14ac:dyDescent="0.35">
      <c r="A1" s="1" t="s">
        <v>46</v>
      </c>
      <c r="B1" s="1" t="s">
        <v>915</v>
      </c>
      <c r="C1" s="1" t="s">
        <v>917</v>
      </c>
      <c r="D1" s="1" t="s">
        <v>948</v>
      </c>
      <c r="E1" s="1" t="s">
        <v>949</v>
      </c>
      <c r="F1" s="1" t="s">
        <v>48</v>
      </c>
      <c r="G1" s="1" t="s">
        <v>950</v>
      </c>
      <c r="H1" s="1" t="s">
        <v>951</v>
      </c>
      <c r="I1" s="1" t="s">
        <v>952</v>
      </c>
    </row>
    <row r="2" spans="1:9" ht="43.5" x14ac:dyDescent="0.35">
      <c r="A2" s="4" t="s">
        <v>55</v>
      </c>
      <c r="B2" s="4" t="s">
        <v>56</v>
      </c>
      <c r="C2" s="4" t="s">
        <v>127</v>
      </c>
      <c r="D2" s="4">
        <v>1</v>
      </c>
      <c r="E2" s="4" t="s">
        <v>953</v>
      </c>
      <c r="F2" s="4" t="s">
        <v>954</v>
      </c>
      <c r="G2" s="4" t="s">
        <v>955</v>
      </c>
      <c r="H2" s="4" t="s">
        <v>956</v>
      </c>
      <c r="I2" s="4" t="s">
        <v>957</v>
      </c>
    </row>
    <row r="3" spans="1:9" ht="29" x14ac:dyDescent="0.35">
      <c r="A3" s="4" t="s">
        <v>55</v>
      </c>
      <c r="B3" s="4" t="s">
        <v>958</v>
      </c>
      <c r="C3" s="4" t="s">
        <v>127</v>
      </c>
      <c r="D3" s="4">
        <v>1</v>
      </c>
      <c r="E3" s="4" t="s">
        <v>953</v>
      </c>
      <c r="F3" s="4" t="s">
        <v>954</v>
      </c>
      <c r="G3" s="4" t="s">
        <v>959</v>
      </c>
      <c r="H3" s="4" t="s">
        <v>956</v>
      </c>
      <c r="I3" s="4" t="s">
        <v>960</v>
      </c>
    </row>
    <row r="4" spans="1:9" ht="43.5" x14ac:dyDescent="0.35">
      <c r="A4" s="4" t="s">
        <v>55</v>
      </c>
      <c r="B4" s="4" t="s">
        <v>961</v>
      </c>
      <c r="C4" s="4" t="s">
        <v>962</v>
      </c>
      <c r="D4" s="4">
        <v>2</v>
      </c>
      <c r="E4" s="4" t="s">
        <v>963</v>
      </c>
      <c r="F4" s="4" t="s">
        <v>954</v>
      </c>
      <c r="G4" s="4" t="s">
        <v>959</v>
      </c>
      <c r="H4" s="4" t="s">
        <v>956</v>
      </c>
      <c r="I4" s="4" t="s">
        <v>964</v>
      </c>
    </row>
    <row r="5" spans="1:9" ht="43.5" x14ac:dyDescent="0.35">
      <c r="A5" s="3" t="s">
        <v>55</v>
      </c>
      <c r="B5" s="3" t="s">
        <v>56</v>
      </c>
      <c r="C5" s="3" t="s">
        <v>965</v>
      </c>
      <c r="D5" s="3">
        <v>3</v>
      </c>
      <c r="E5" s="3" t="s">
        <v>966</v>
      </c>
      <c r="F5" s="3" t="s">
        <v>57</v>
      </c>
      <c r="G5" s="3" t="s">
        <v>955</v>
      </c>
      <c r="H5" s="3" t="s">
        <v>967</v>
      </c>
      <c r="I5" s="3" t="s">
        <v>968</v>
      </c>
    </row>
    <row r="6" spans="1:9" ht="43.5" x14ac:dyDescent="0.35">
      <c r="A6" s="4" t="s">
        <v>55</v>
      </c>
      <c r="B6" s="4" t="s">
        <v>56</v>
      </c>
      <c r="C6" s="4" t="s">
        <v>965</v>
      </c>
      <c r="D6" s="4">
        <v>3</v>
      </c>
      <c r="E6" s="4" t="s">
        <v>966</v>
      </c>
      <c r="F6" s="4" t="s">
        <v>954</v>
      </c>
      <c r="G6" s="4" t="s">
        <v>955</v>
      </c>
      <c r="H6" s="4" t="s">
        <v>956</v>
      </c>
      <c r="I6" s="4" t="s">
        <v>969</v>
      </c>
    </row>
    <row r="7" spans="1:9" ht="43.5" x14ac:dyDescent="0.35">
      <c r="A7" s="4" t="s">
        <v>55</v>
      </c>
      <c r="B7" s="4" t="s">
        <v>56</v>
      </c>
      <c r="C7" s="4" t="s">
        <v>145</v>
      </c>
      <c r="D7" s="4">
        <v>4</v>
      </c>
      <c r="E7" s="4" t="s">
        <v>970</v>
      </c>
      <c r="F7" s="4" t="s">
        <v>954</v>
      </c>
      <c r="G7" s="4" t="s">
        <v>955</v>
      </c>
      <c r="H7" s="4" t="s">
        <v>956</v>
      </c>
      <c r="I7" s="4" t="s">
        <v>971</v>
      </c>
    </row>
    <row r="8" spans="1:9" ht="43.5" x14ac:dyDescent="0.35">
      <c r="A8" s="2" t="s">
        <v>55</v>
      </c>
      <c r="B8" s="2" t="s">
        <v>56</v>
      </c>
      <c r="C8" s="2" t="s">
        <v>125</v>
      </c>
      <c r="D8" s="2">
        <v>5</v>
      </c>
      <c r="E8" s="2" t="s">
        <v>927</v>
      </c>
      <c r="F8" s="2" t="s">
        <v>57</v>
      </c>
      <c r="G8" s="2" t="s">
        <v>955</v>
      </c>
      <c r="H8" s="2" t="s">
        <v>956</v>
      </c>
      <c r="I8" s="2" t="s">
        <v>972</v>
      </c>
    </row>
    <row r="9" spans="1:9" ht="29" x14ac:dyDescent="0.35">
      <c r="A9" s="4" t="s">
        <v>60</v>
      </c>
      <c r="B9" s="4" t="s">
        <v>61</v>
      </c>
      <c r="C9" s="4" t="s">
        <v>127</v>
      </c>
      <c r="D9" s="4">
        <v>1</v>
      </c>
      <c r="E9" s="4" t="s">
        <v>953</v>
      </c>
      <c r="F9" s="4" t="s">
        <v>954</v>
      </c>
      <c r="G9" s="4" t="s">
        <v>955</v>
      </c>
      <c r="H9" s="4" t="s">
        <v>956</v>
      </c>
      <c r="I9" s="4" t="s">
        <v>973</v>
      </c>
    </row>
    <row r="10" spans="1:9" ht="43.5" x14ac:dyDescent="0.35">
      <c r="A10" s="4" t="s">
        <v>60</v>
      </c>
      <c r="B10" s="4" t="s">
        <v>974</v>
      </c>
      <c r="C10" s="4" t="s">
        <v>127</v>
      </c>
      <c r="D10" s="4">
        <v>1</v>
      </c>
      <c r="E10" s="4" t="s">
        <v>953</v>
      </c>
      <c r="F10" s="4" t="s">
        <v>954</v>
      </c>
      <c r="G10" s="4" t="s">
        <v>959</v>
      </c>
      <c r="H10" s="4" t="s">
        <v>956</v>
      </c>
      <c r="I10" s="4" t="s">
        <v>975</v>
      </c>
    </row>
    <row r="11" spans="1:9" ht="29" x14ac:dyDescent="0.35">
      <c r="A11" s="4" t="s">
        <v>60</v>
      </c>
      <c r="B11" s="4" t="s">
        <v>976</v>
      </c>
      <c r="C11" s="4" t="s">
        <v>962</v>
      </c>
      <c r="D11" s="4">
        <v>2</v>
      </c>
      <c r="E11" s="4" t="s">
        <v>963</v>
      </c>
      <c r="F11" s="4" t="s">
        <v>954</v>
      </c>
      <c r="G11" s="4" t="s">
        <v>959</v>
      </c>
      <c r="H11" s="4" t="s">
        <v>956</v>
      </c>
      <c r="I11" s="4" t="s">
        <v>977</v>
      </c>
    </row>
    <row r="12" spans="1:9" ht="29" x14ac:dyDescent="0.35">
      <c r="A12" s="2" t="s">
        <v>60</v>
      </c>
      <c r="B12" s="2" t="s">
        <v>61</v>
      </c>
      <c r="C12" s="2" t="s">
        <v>965</v>
      </c>
      <c r="D12" s="2">
        <v>3</v>
      </c>
      <c r="E12" s="2" t="s">
        <v>966</v>
      </c>
      <c r="F12" s="2" t="s">
        <v>57</v>
      </c>
      <c r="G12" s="2" t="s">
        <v>955</v>
      </c>
      <c r="H12" s="2" t="s">
        <v>967</v>
      </c>
      <c r="I12" s="2" t="s">
        <v>978</v>
      </c>
    </row>
    <row r="13" spans="1:9" ht="29" x14ac:dyDescent="0.35">
      <c r="A13" s="4" t="s">
        <v>60</v>
      </c>
      <c r="B13" s="4" t="s">
        <v>61</v>
      </c>
      <c r="C13" s="4" t="s">
        <v>965</v>
      </c>
      <c r="D13" s="4">
        <v>3</v>
      </c>
      <c r="E13" s="4" t="s">
        <v>966</v>
      </c>
      <c r="F13" s="4" t="s">
        <v>954</v>
      </c>
      <c r="G13" s="4" t="s">
        <v>955</v>
      </c>
      <c r="H13" s="4" t="s">
        <v>956</v>
      </c>
      <c r="I13" s="4" t="s">
        <v>979</v>
      </c>
    </row>
    <row r="14" spans="1:9" ht="29" x14ac:dyDescent="0.35">
      <c r="A14" s="4" t="s">
        <v>60</v>
      </c>
      <c r="B14" s="4" t="s">
        <v>61</v>
      </c>
      <c r="C14" s="4" t="s">
        <v>145</v>
      </c>
      <c r="D14" s="4">
        <v>4</v>
      </c>
      <c r="E14" s="4" t="s">
        <v>970</v>
      </c>
      <c r="F14" s="4" t="s">
        <v>954</v>
      </c>
      <c r="G14" s="4" t="s">
        <v>955</v>
      </c>
      <c r="H14" s="4" t="s">
        <v>956</v>
      </c>
      <c r="I14" s="4" t="s">
        <v>980</v>
      </c>
    </row>
    <row r="15" spans="1:9" ht="43.5" x14ac:dyDescent="0.35">
      <c r="A15" s="3" t="s">
        <v>60</v>
      </c>
      <c r="B15" s="3" t="s">
        <v>981</v>
      </c>
      <c r="C15" s="3" t="s">
        <v>125</v>
      </c>
      <c r="D15" s="3">
        <v>5</v>
      </c>
      <c r="E15" s="3" t="s">
        <v>927</v>
      </c>
      <c r="F15" s="3" t="s">
        <v>57</v>
      </c>
      <c r="G15" s="3" t="s">
        <v>955</v>
      </c>
      <c r="H15" s="3" t="s">
        <v>956</v>
      </c>
      <c r="I15" s="3" t="s">
        <v>982</v>
      </c>
    </row>
    <row r="16" spans="1:9" ht="29" x14ac:dyDescent="0.35">
      <c r="A16" s="4" t="s">
        <v>63</v>
      </c>
      <c r="B16" s="4" t="s">
        <v>64</v>
      </c>
      <c r="C16" s="4" t="s">
        <v>166</v>
      </c>
      <c r="D16" s="4">
        <v>0</v>
      </c>
      <c r="E16" s="4" t="s">
        <v>983</v>
      </c>
      <c r="F16" s="4" t="s">
        <v>954</v>
      </c>
      <c r="G16" s="4" t="s">
        <v>955</v>
      </c>
      <c r="H16" s="4" t="s">
        <v>956</v>
      </c>
      <c r="I16" s="4" t="s">
        <v>984</v>
      </c>
    </row>
    <row r="17" spans="1:9" ht="29" x14ac:dyDescent="0.35">
      <c r="A17" s="4" t="s">
        <v>63</v>
      </c>
      <c r="B17" s="4" t="s">
        <v>64</v>
      </c>
      <c r="C17" s="4" t="s">
        <v>166</v>
      </c>
      <c r="D17" s="4">
        <v>0</v>
      </c>
      <c r="E17" s="4" t="s">
        <v>970</v>
      </c>
      <c r="F17" s="4" t="s">
        <v>954</v>
      </c>
      <c r="G17" s="4" t="s">
        <v>955</v>
      </c>
      <c r="H17" s="4" t="s">
        <v>956</v>
      </c>
      <c r="I17" s="4" t="s">
        <v>985</v>
      </c>
    </row>
    <row r="18" spans="1:9" ht="29" x14ac:dyDescent="0.35">
      <c r="A18" s="4" t="s">
        <v>63</v>
      </c>
      <c r="B18" s="4" t="s">
        <v>986</v>
      </c>
      <c r="C18" s="4" t="s">
        <v>166</v>
      </c>
      <c r="D18" s="4">
        <v>0</v>
      </c>
      <c r="E18" s="4" t="s">
        <v>983</v>
      </c>
      <c r="F18" s="4" t="s">
        <v>954</v>
      </c>
      <c r="G18" s="4" t="s">
        <v>959</v>
      </c>
      <c r="H18" s="4" t="s">
        <v>956</v>
      </c>
      <c r="I18" s="4" t="s">
        <v>987</v>
      </c>
    </row>
    <row r="19" spans="1:9" ht="29" x14ac:dyDescent="0.35">
      <c r="A19" s="4" t="s">
        <v>63</v>
      </c>
      <c r="B19" s="4" t="s">
        <v>64</v>
      </c>
      <c r="C19" s="4" t="s">
        <v>127</v>
      </c>
      <c r="D19" s="4">
        <v>1</v>
      </c>
      <c r="E19" s="4" t="s">
        <v>963</v>
      </c>
      <c r="F19" s="4" t="s">
        <v>954</v>
      </c>
      <c r="G19" s="4" t="s">
        <v>959</v>
      </c>
      <c r="H19" s="4" t="s">
        <v>956</v>
      </c>
      <c r="I19" s="4" t="s">
        <v>988</v>
      </c>
    </row>
    <row r="20" spans="1:9" ht="29" x14ac:dyDescent="0.35">
      <c r="A20" s="2" t="s">
        <v>63</v>
      </c>
      <c r="B20" s="2" t="s">
        <v>64</v>
      </c>
      <c r="C20" s="2" t="s">
        <v>962</v>
      </c>
      <c r="D20" s="2">
        <v>2</v>
      </c>
      <c r="E20" s="2" t="s">
        <v>966</v>
      </c>
      <c r="F20" s="2" t="s">
        <v>57</v>
      </c>
      <c r="G20" s="2" t="s">
        <v>955</v>
      </c>
      <c r="H20" s="2" t="s">
        <v>967</v>
      </c>
      <c r="I20" s="2" t="s">
        <v>989</v>
      </c>
    </row>
    <row r="21" spans="1:9" ht="29" x14ac:dyDescent="0.35">
      <c r="A21" s="4" t="s">
        <v>63</v>
      </c>
      <c r="B21" s="4" t="s">
        <v>64</v>
      </c>
      <c r="C21" s="4" t="s">
        <v>962</v>
      </c>
      <c r="D21" s="4">
        <v>2</v>
      </c>
      <c r="E21" s="4" t="s">
        <v>966</v>
      </c>
      <c r="F21" s="4" t="s">
        <v>954</v>
      </c>
      <c r="G21" s="4" t="s">
        <v>955</v>
      </c>
      <c r="H21" s="4" t="s">
        <v>956</v>
      </c>
      <c r="I21" s="4" t="s">
        <v>990</v>
      </c>
    </row>
    <row r="22" spans="1:9" ht="29" x14ac:dyDescent="0.35">
      <c r="A22" s="2" t="s">
        <v>63</v>
      </c>
      <c r="B22" s="2" t="s">
        <v>64</v>
      </c>
      <c r="C22" s="2" t="s">
        <v>145</v>
      </c>
      <c r="D22" s="2">
        <v>4</v>
      </c>
      <c r="E22" s="2" t="s">
        <v>927</v>
      </c>
      <c r="F22" s="2" t="s">
        <v>57</v>
      </c>
      <c r="G22" s="2" t="s">
        <v>955</v>
      </c>
      <c r="H22" s="2" t="s">
        <v>956</v>
      </c>
      <c r="I22" s="2" t="s">
        <v>991</v>
      </c>
    </row>
    <row r="23" spans="1:9" ht="29" x14ac:dyDescent="0.35">
      <c r="A23" s="4" t="s">
        <v>66</v>
      </c>
      <c r="B23" s="4" t="s">
        <v>67</v>
      </c>
      <c r="C23" s="4" t="s">
        <v>127</v>
      </c>
      <c r="D23" s="4">
        <v>1</v>
      </c>
      <c r="E23" s="4" t="s">
        <v>992</v>
      </c>
      <c r="F23" s="4" t="s">
        <v>954</v>
      </c>
      <c r="G23" s="4" t="s">
        <v>955</v>
      </c>
      <c r="H23" s="4" t="s">
        <v>956</v>
      </c>
      <c r="I23" s="4" t="s">
        <v>993</v>
      </c>
    </row>
    <row r="24" spans="1:9" ht="29" x14ac:dyDescent="0.35">
      <c r="A24" s="4" t="s">
        <v>66</v>
      </c>
      <c r="B24" s="4" t="s">
        <v>994</v>
      </c>
      <c r="C24" s="4" t="s">
        <v>127</v>
      </c>
      <c r="D24" s="4">
        <v>1</v>
      </c>
      <c r="E24" s="4" t="s">
        <v>992</v>
      </c>
      <c r="F24" s="4" t="s">
        <v>954</v>
      </c>
      <c r="G24" s="4" t="s">
        <v>959</v>
      </c>
      <c r="H24" s="4" t="s">
        <v>956</v>
      </c>
      <c r="I24" s="4" t="s">
        <v>995</v>
      </c>
    </row>
    <row r="25" spans="1:9" ht="29" x14ac:dyDescent="0.35">
      <c r="A25" s="4" t="s">
        <v>66</v>
      </c>
      <c r="B25" s="4" t="s">
        <v>996</v>
      </c>
      <c r="C25" s="4" t="s">
        <v>962</v>
      </c>
      <c r="D25" s="4">
        <v>2</v>
      </c>
      <c r="E25" s="4" t="s">
        <v>963</v>
      </c>
      <c r="F25" s="4" t="s">
        <v>954</v>
      </c>
      <c r="G25" s="4" t="s">
        <v>959</v>
      </c>
      <c r="H25" s="4" t="s">
        <v>956</v>
      </c>
      <c r="I25" s="4" t="s">
        <v>997</v>
      </c>
    </row>
    <row r="26" spans="1:9" ht="29" x14ac:dyDescent="0.35">
      <c r="A26" s="2" t="s">
        <v>66</v>
      </c>
      <c r="B26" s="2" t="s">
        <v>67</v>
      </c>
      <c r="C26" s="2" t="s">
        <v>965</v>
      </c>
      <c r="D26" s="2">
        <v>3</v>
      </c>
      <c r="E26" s="2" t="s">
        <v>966</v>
      </c>
      <c r="F26" s="2" t="s">
        <v>57</v>
      </c>
      <c r="G26" s="2" t="s">
        <v>955</v>
      </c>
      <c r="H26" s="2" t="s">
        <v>967</v>
      </c>
      <c r="I26" s="2" t="s">
        <v>998</v>
      </c>
    </row>
    <row r="27" spans="1:9" ht="29" x14ac:dyDescent="0.35">
      <c r="A27" s="4" t="s">
        <v>66</v>
      </c>
      <c r="B27" s="4" t="s">
        <v>67</v>
      </c>
      <c r="C27" s="4" t="s">
        <v>965</v>
      </c>
      <c r="D27" s="4">
        <v>3</v>
      </c>
      <c r="E27" s="4" t="s">
        <v>966</v>
      </c>
      <c r="F27" s="4" t="s">
        <v>954</v>
      </c>
      <c r="G27" s="4" t="s">
        <v>955</v>
      </c>
      <c r="H27" s="4" t="s">
        <v>956</v>
      </c>
      <c r="I27" s="4" t="s">
        <v>999</v>
      </c>
    </row>
    <row r="28" spans="1:9" ht="29" x14ac:dyDescent="0.35">
      <c r="A28" s="4" t="s">
        <v>66</v>
      </c>
      <c r="B28" s="4" t="s">
        <v>67</v>
      </c>
      <c r="C28" s="4" t="s">
        <v>145</v>
      </c>
      <c r="D28" s="4">
        <v>4</v>
      </c>
      <c r="E28" s="4" t="s">
        <v>970</v>
      </c>
      <c r="F28" s="4" t="s">
        <v>954</v>
      </c>
      <c r="G28" s="4" t="s">
        <v>955</v>
      </c>
      <c r="H28" s="4" t="s">
        <v>956</v>
      </c>
      <c r="I28" s="4" t="s">
        <v>1000</v>
      </c>
    </row>
    <row r="29" spans="1:9" ht="29" x14ac:dyDescent="0.35">
      <c r="A29" s="3" t="s">
        <v>66</v>
      </c>
      <c r="B29" s="3" t="s">
        <v>67</v>
      </c>
      <c r="C29" s="3" t="s">
        <v>125</v>
      </c>
      <c r="D29" s="3">
        <v>5</v>
      </c>
      <c r="E29" s="3" t="s">
        <v>927</v>
      </c>
      <c r="F29" s="3" t="s">
        <v>57</v>
      </c>
      <c r="G29" s="3" t="s">
        <v>955</v>
      </c>
      <c r="H29" s="3" t="s">
        <v>956</v>
      </c>
      <c r="I29" s="3" t="s">
        <v>1001</v>
      </c>
    </row>
    <row r="30" spans="1:9" x14ac:dyDescent="0.35">
      <c r="A30" s="4" t="s">
        <v>68</v>
      </c>
      <c r="B30" s="4" t="s">
        <v>69</v>
      </c>
      <c r="C30" s="4" t="s">
        <v>127</v>
      </c>
      <c r="D30" s="4">
        <v>1</v>
      </c>
      <c r="E30" s="4" t="s">
        <v>1002</v>
      </c>
      <c r="F30" s="4" t="s">
        <v>954</v>
      </c>
      <c r="G30" s="4" t="s">
        <v>955</v>
      </c>
      <c r="H30" s="4" t="s">
        <v>956</v>
      </c>
      <c r="I30" s="4" t="s">
        <v>1003</v>
      </c>
    </row>
    <row r="31" spans="1:9" x14ac:dyDescent="0.35">
      <c r="A31" s="4" t="s">
        <v>68</v>
      </c>
      <c r="B31" s="4" t="s">
        <v>1004</v>
      </c>
      <c r="C31" s="4" t="s">
        <v>127</v>
      </c>
      <c r="D31" s="4">
        <v>1</v>
      </c>
      <c r="E31" s="4" t="s">
        <v>1002</v>
      </c>
      <c r="F31" s="4" t="s">
        <v>954</v>
      </c>
      <c r="G31" s="4" t="s">
        <v>959</v>
      </c>
      <c r="H31" s="4" t="s">
        <v>956</v>
      </c>
      <c r="I31" s="4" t="s">
        <v>1005</v>
      </c>
    </row>
    <row r="32" spans="1:9" x14ac:dyDescent="0.35">
      <c r="A32" s="4" t="s">
        <v>68</v>
      </c>
      <c r="B32" s="4" t="s">
        <v>69</v>
      </c>
      <c r="C32" s="4" t="s">
        <v>962</v>
      </c>
      <c r="D32" s="4">
        <v>2</v>
      </c>
      <c r="E32" s="4" t="s">
        <v>963</v>
      </c>
      <c r="F32" s="4" t="s">
        <v>954</v>
      </c>
      <c r="G32" s="4" t="s">
        <v>959</v>
      </c>
      <c r="H32" s="4" t="s">
        <v>956</v>
      </c>
      <c r="I32" s="4" t="s">
        <v>1006</v>
      </c>
    </row>
    <row r="33" spans="1:9" x14ac:dyDescent="0.35">
      <c r="A33" s="3" t="s">
        <v>68</v>
      </c>
      <c r="B33" s="3" t="s">
        <v>69</v>
      </c>
      <c r="C33" s="3" t="s">
        <v>965</v>
      </c>
      <c r="D33" s="3">
        <v>3</v>
      </c>
      <c r="E33" s="3" t="s">
        <v>966</v>
      </c>
      <c r="F33" s="3" t="s">
        <v>57</v>
      </c>
      <c r="G33" s="3" t="s">
        <v>955</v>
      </c>
      <c r="H33" s="3" t="s">
        <v>967</v>
      </c>
      <c r="I33" s="3" t="s">
        <v>1007</v>
      </c>
    </row>
    <row r="34" spans="1:9" x14ac:dyDescent="0.35">
      <c r="A34" s="4" t="s">
        <v>68</v>
      </c>
      <c r="B34" s="4" t="s">
        <v>69</v>
      </c>
      <c r="C34" s="4" t="s">
        <v>965</v>
      </c>
      <c r="D34" s="4">
        <v>3</v>
      </c>
      <c r="E34" s="4" t="s">
        <v>966</v>
      </c>
      <c r="F34" s="4" t="s">
        <v>954</v>
      </c>
      <c r="G34" s="4" t="s">
        <v>955</v>
      </c>
      <c r="H34" s="4" t="s">
        <v>956</v>
      </c>
      <c r="I34" s="4" t="s">
        <v>1008</v>
      </c>
    </row>
    <row r="35" spans="1:9" x14ac:dyDescent="0.35">
      <c r="A35" s="4" t="s">
        <v>68</v>
      </c>
      <c r="B35" s="4" t="s">
        <v>69</v>
      </c>
      <c r="C35" s="4" t="s">
        <v>145</v>
      </c>
      <c r="D35" s="4">
        <v>4</v>
      </c>
      <c r="E35" s="4" t="s">
        <v>970</v>
      </c>
      <c r="F35" s="4" t="s">
        <v>954</v>
      </c>
      <c r="G35" s="4" t="s">
        <v>955</v>
      </c>
      <c r="H35" s="4" t="s">
        <v>956</v>
      </c>
      <c r="I35" s="4" t="s">
        <v>1009</v>
      </c>
    </row>
    <row r="36" spans="1:9" x14ac:dyDescent="0.35">
      <c r="A36" s="2" t="s">
        <v>68</v>
      </c>
      <c r="B36" s="2" t="s">
        <v>69</v>
      </c>
      <c r="C36" s="2" t="s">
        <v>125</v>
      </c>
      <c r="D36" s="2">
        <v>5</v>
      </c>
      <c r="E36" s="2" t="s">
        <v>927</v>
      </c>
      <c r="F36" s="2" t="s">
        <v>57</v>
      </c>
      <c r="G36" s="2" t="s">
        <v>955</v>
      </c>
      <c r="H36" s="2" t="s">
        <v>956</v>
      </c>
      <c r="I36" s="2" t="s">
        <v>1010</v>
      </c>
    </row>
    <row r="37" spans="1:9" ht="29" x14ac:dyDescent="0.35">
      <c r="A37" s="4" t="s">
        <v>70</v>
      </c>
      <c r="B37" s="4" t="s">
        <v>71</v>
      </c>
      <c r="C37" s="4" t="s">
        <v>127</v>
      </c>
      <c r="D37" s="4">
        <v>1</v>
      </c>
      <c r="E37" s="4" t="s">
        <v>1002</v>
      </c>
      <c r="F37" s="4" t="s">
        <v>954</v>
      </c>
      <c r="G37" s="4" t="s">
        <v>955</v>
      </c>
      <c r="H37" s="4" t="s">
        <v>956</v>
      </c>
      <c r="I37" s="4" t="s">
        <v>1011</v>
      </c>
    </row>
    <row r="38" spans="1:9" x14ac:dyDescent="0.35">
      <c r="A38" s="4" t="s">
        <v>70</v>
      </c>
      <c r="B38" s="4" t="s">
        <v>1012</v>
      </c>
      <c r="C38" s="4" t="s">
        <v>127</v>
      </c>
      <c r="D38" s="4">
        <v>1</v>
      </c>
      <c r="E38" s="4" t="s">
        <v>1002</v>
      </c>
      <c r="F38" s="4" t="s">
        <v>954</v>
      </c>
      <c r="G38" s="4" t="s">
        <v>959</v>
      </c>
      <c r="H38" s="4" t="s">
        <v>956</v>
      </c>
      <c r="I38" s="4" t="s">
        <v>1013</v>
      </c>
    </row>
    <row r="39" spans="1:9" ht="29" x14ac:dyDescent="0.35">
      <c r="A39" s="4" t="s">
        <v>70</v>
      </c>
      <c r="B39" s="4" t="s">
        <v>71</v>
      </c>
      <c r="C39" s="4" t="s">
        <v>962</v>
      </c>
      <c r="D39" s="4">
        <v>2</v>
      </c>
      <c r="E39" s="4" t="s">
        <v>963</v>
      </c>
      <c r="F39" s="4" t="s">
        <v>954</v>
      </c>
      <c r="G39" s="4" t="s">
        <v>959</v>
      </c>
      <c r="H39" s="4" t="s">
        <v>956</v>
      </c>
      <c r="I39" s="4" t="s">
        <v>1014</v>
      </c>
    </row>
    <row r="40" spans="1:9" ht="29" x14ac:dyDescent="0.35">
      <c r="A40" s="2" t="s">
        <v>70</v>
      </c>
      <c r="B40" s="2" t="s">
        <v>71</v>
      </c>
      <c r="C40" s="2" t="s">
        <v>965</v>
      </c>
      <c r="D40" s="2">
        <v>3</v>
      </c>
      <c r="E40" s="2" t="s">
        <v>966</v>
      </c>
      <c r="F40" s="2" t="s">
        <v>57</v>
      </c>
      <c r="G40" s="2" t="s">
        <v>955</v>
      </c>
      <c r="H40" s="2" t="s">
        <v>967</v>
      </c>
      <c r="I40" s="2" t="s">
        <v>1015</v>
      </c>
    </row>
    <row r="41" spans="1:9" ht="29" x14ac:dyDescent="0.35">
      <c r="A41" s="4" t="s">
        <v>70</v>
      </c>
      <c r="B41" s="4" t="s">
        <v>71</v>
      </c>
      <c r="C41" s="4" t="s">
        <v>965</v>
      </c>
      <c r="D41" s="4">
        <v>3</v>
      </c>
      <c r="E41" s="4" t="s">
        <v>966</v>
      </c>
      <c r="F41" s="4" t="s">
        <v>954</v>
      </c>
      <c r="G41" s="4" t="s">
        <v>955</v>
      </c>
      <c r="H41" s="4" t="s">
        <v>956</v>
      </c>
      <c r="I41" s="4" t="s">
        <v>1016</v>
      </c>
    </row>
    <row r="42" spans="1:9" ht="29" x14ac:dyDescent="0.35">
      <c r="A42" s="4" t="s">
        <v>70</v>
      </c>
      <c r="B42" s="4" t="s">
        <v>71</v>
      </c>
      <c r="C42" s="4" t="s">
        <v>145</v>
      </c>
      <c r="D42" s="4">
        <v>4</v>
      </c>
      <c r="E42" s="4" t="s">
        <v>970</v>
      </c>
      <c r="F42" s="4" t="s">
        <v>954</v>
      </c>
      <c r="G42" s="4" t="s">
        <v>955</v>
      </c>
      <c r="H42" s="4" t="s">
        <v>956</v>
      </c>
      <c r="I42" s="4" t="s">
        <v>1017</v>
      </c>
    </row>
    <row r="43" spans="1:9" ht="29" x14ac:dyDescent="0.35">
      <c r="A43" s="3" t="s">
        <v>70</v>
      </c>
      <c r="B43" s="3" t="s">
        <v>71</v>
      </c>
      <c r="C43" s="3" t="s">
        <v>125</v>
      </c>
      <c r="D43" s="3">
        <v>5</v>
      </c>
      <c r="E43" s="3" t="s">
        <v>927</v>
      </c>
      <c r="F43" s="3" t="s">
        <v>57</v>
      </c>
      <c r="G43" s="3" t="s">
        <v>955</v>
      </c>
      <c r="H43" s="3" t="s">
        <v>956</v>
      </c>
      <c r="I43" s="3" t="s">
        <v>1018</v>
      </c>
    </row>
    <row r="44" spans="1:9" ht="29" x14ac:dyDescent="0.35">
      <c r="A44" s="4" t="s">
        <v>73</v>
      </c>
      <c r="B44" s="4" t="s">
        <v>74</v>
      </c>
      <c r="C44" s="4" t="s">
        <v>127</v>
      </c>
      <c r="D44" s="4">
        <v>1</v>
      </c>
      <c r="E44" s="4" t="s">
        <v>983</v>
      </c>
      <c r="F44" s="4" t="s">
        <v>954</v>
      </c>
      <c r="G44" s="4" t="s">
        <v>955</v>
      </c>
      <c r="H44" s="4" t="s">
        <v>956</v>
      </c>
      <c r="I44" s="4" t="s">
        <v>1019</v>
      </c>
    </row>
    <row r="45" spans="1:9" ht="29" x14ac:dyDescent="0.35">
      <c r="A45" s="4" t="s">
        <v>73</v>
      </c>
      <c r="B45" s="4" t="s">
        <v>1020</v>
      </c>
      <c r="C45" s="4" t="s">
        <v>127</v>
      </c>
      <c r="D45" s="4">
        <v>1</v>
      </c>
      <c r="E45" s="4" t="s">
        <v>983</v>
      </c>
      <c r="F45" s="4" t="s">
        <v>954</v>
      </c>
      <c r="G45" s="4" t="s">
        <v>959</v>
      </c>
      <c r="H45" s="4" t="s">
        <v>956</v>
      </c>
      <c r="I45" s="4" t="s">
        <v>1021</v>
      </c>
    </row>
    <row r="46" spans="1:9" ht="29" x14ac:dyDescent="0.35">
      <c r="A46" s="4" t="s">
        <v>73</v>
      </c>
      <c r="B46" s="4" t="s">
        <v>1022</v>
      </c>
      <c r="C46" s="4" t="s">
        <v>962</v>
      </c>
      <c r="D46" s="4">
        <v>2</v>
      </c>
      <c r="E46" s="4" t="s">
        <v>963</v>
      </c>
      <c r="F46" s="4" t="s">
        <v>954</v>
      </c>
      <c r="G46" s="4" t="s">
        <v>959</v>
      </c>
      <c r="H46" s="4" t="s">
        <v>956</v>
      </c>
      <c r="I46" s="4" t="s">
        <v>1023</v>
      </c>
    </row>
    <row r="47" spans="1:9" ht="29" x14ac:dyDescent="0.35">
      <c r="A47" s="3" t="s">
        <v>73</v>
      </c>
      <c r="B47" s="3" t="s">
        <v>74</v>
      </c>
      <c r="C47" s="3" t="s">
        <v>965</v>
      </c>
      <c r="D47" s="3">
        <v>3</v>
      </c>
      <c r="E47" s="3" t="s">
        <v>966</v>
      </c>
      <c r="F47" s="3" t="s">
        <v>57</v>
      </c>
      <c r="G47" s="3" t="s">
        <v>955</v>
      </c>
      <c r="H47" s="3" t="s">
        <v>967</v>
      </c>
      <c r="I47" s="3" t="s">
        <v>1024</v>
      </c>
    </row>
    <row r="48" spans="1:9" ht="29" x14ac:dyDescent="0.35">
      <c r="A48" s="4" t="s">
        <v>73</v>
      </c>
      <c r="B48" s="4" t="s">
        <v>74</v>
      </c>
      <c r="C48" s="4" t="s">
        <v>965</v>
      </c>
      <c r="D48" s="4">
        <v>3</v>
      </c>
      <c r="E48" s="4" t="s">
        <v>966</v>
      </c>
      <c r="F48" s="4" t="s">
        <v>954</v>
      </c>
      <c r="G48" s="4" t="s">
        <v>955</v>
      </c>
      <c r="H48" s="4" t="s">
        <v>956</v>
      </c>
      <c r="I48" s="4" t="s">
        <v>1025</v>
      </c>
    </row>
    <row r="49" spans="1:9" ht="29" x14ac:dyDescent="0.35">
      <c r="A49" s="4" t="s">
        <v>73</v>
      </c>
      <c r="B49" s="4" t="s">
        <v>74</v>
      </c>
      <c r="C49" s="4" t="s">
        <v>145</v>
      </c>
      <c r="D49" s="4">
        <v>4</v>
      </c>
      <c r="E49" s="4" t="s">
        <v>970</v>
      </c>
      <c r="F49" s="4" t="s">
        <v>954</v>
      </c>
      <c r="G49" s="4" t="s">
        <v>955</v>
      </c>
      <c r="H49" s="4" t="s">
        <v>956</v>
      </c>
      <c r="I49" s="4" t="s">
        <v>1026</v>
      </c>
    </row>
    <row r="50" spans="1:9" ht="29" x14ac:dyDescent="0.35">
      <c r="A50" s="2" t="s">
        <v>73</v>
      </c>
      <c r="B50" s="2" t="s">
        <v>74</v>
      </c>
      <c r="C50" s="2" t="s">
        <v>125</v>
      </c>
      <c r="D50" s="2">
        <v>5</v>
      </c>
      <c r="E50" s="2" t="s">
        <v>927</v>
      </c>
      <c r="F50" s="2" t="s">
        <v>57</v>
      </c>
      <c r="G50" s="2" t="s">
        <v>955</v>
      </c>
      <c r="H50" s="2" t="s">
        <v>956</v>
      </c>
      <c r="I50" s="2" t="s">
        <v>1027</v>
      </c>
    </row>
    <row r="51" spans="1:9" ht="29" x14ac:dyDescent="0.35">
      <c r="A51" s="4" t="s">
        <v>75</v>
      </c>
      <c r="B51" s="4" t="s">
        <v>1028</v>
      </c>
      <c r="C51" s="4" t="s">
        <v>127</v>
      </c>
      <c r="D51" s="4">
        <v>1</v>
      </c>
      <c r="E51" s="4" t="s">
        <v>953</v>
      </c>
      <c r="F51" s="4" t="s">
        <v>954</v>
      </c>
      <c r="G51" s="4" t="s">
        <v>955</v>
      </c>
      <c r="H51" s="4" t="s">
        <v>956</v>
      </c>
      <c r="I51" s="4" t="s">
        <v>1029</v>
      </c>
    </row>
    <row r="52" spans="1:9" ht="29" x14ac:dyDescent="0.35">
      <c r="A52" s="4" t="s">
        <v>75</v>
      </c>
      <c r="B52" s="4" t="s">
        <v>1030</v>
      </c>
      <c r="C52" s="4" t="s">
        <v>127</v>
      </c>
      <c r="D52" s="4">
        <v>1</v>
      </c>
      <c r="E52" s="4" t="s">
        <v>953</v>
      </c>
      <c r="F52" s="4" t="s">
        <v>954</v>
      </c>
      <c r="G52" s="4" t="s">
        <v>959</v>
      </c>
      <c r="H52" s="4" t="s">
        <v>956</v>
      </c>
      <c r="I52" s="4" t="s">
        <v>1031</v>
      </c>
    </row>
    <row r="53" spans="1:9" ht="29" x14ac:dyDescent="0.35">
      <c r="A53" s="4" t="s">
        <v>75</v>
      </c>
      <c r="B53" s="4" t="s">
        <v>1032</v>
      </c>
      <c r="C53" s="4" t="s">
        <v>962</v>
      </c>
      <c r="D53" s="4">
        <v>2</v>
      </c>
      <c r="E53" s="4" t="s">
        <v>963</v>
      </c>
      <c r="F53" s="4" t="s">
        <v>954</v>
      </c>
      <c r="G53" s="4" t="s">
        <v>959</v>
      </c>
      <c r="H53" s="4" t="s">
        <v>956</v>
      </c>
      <c r="I53" s="4" t="s">
        <v>1033</v>
      </c>
    </row>
    <row r="54" spans="1:9" ht="29" x14ac:dyDescent="0.35">
      <c r="A54" s="2" t="s">
        <v>75</v>
      </c>
      <c r="B54" s="2" t="s">
        <v>76</v>
      </c>
      <c r="C54" s="2" t="s">
        <v>965</v>
      </c>
      <c r="D54" s="2">
        <v>3</v>
      </c>
      <c r="E54" s="2" t="s">
        <v>966</v>
      </c>
      <c r="F54" s="2" t="s">
        <v>57</v>
      </c>
      <c r="G54" s="2" t="s">
        <v>955</v>
      </c>
      <c r="H54" s="2" t="s">
        <v>967</v>
      </c>
      <c r="I54" s="2" t="s">
        <v>1034</v>
      </c>
    </row>
    <row r="55" spans="1:9" ht="29" x14ac:dyDescent="0.35">
      <c r="A55" s="4" t="s">
        <v>75</v>
      </c>
      <c r="B55" s="4" t="s">
        <v>76</v>
      </c>
      <c r="C55" s="4" t="s">
        <v>965</v>
      </c>
      <c r="D55" s="4">
        <v>3</v>
      </c>
      <c r="E55" s="4" t="s">
        <v>966</v>
      </c>
      <c r="F55" s="4" t="s">
        <v>954</v>
      </c>
      <c r="G55" s="4" t="s">
        <v>955</v>
      </c>
      <c r="H55" s="4" t="s">
        <v>956</v>
      </c>
      <c r="I55" s="4" t="s">
        <v>1035</v>
      </c>
    </row>
    <row r="56" spans="1:9" ht="29" x14ac:dyDescent="0.35">
      <c r="A56" s="4" t="s">
        <v>75</v>
      </c>
      <c r="B56" s="4" t="s">
        <v>76</v>
      </c>
      <c r="C56" s="4" t="s">
        <v>145</v>
      </c>
      <c r="D56" s="4">
        <v>4</v>
      </c>
      <c r="E56" s="4" t="s">
        <v>970</v>
      </c>
      <c r="F56" s="4" t="s">
        <v>954</v>
      </c>
      <c r="G56" s="4" t="s">
        <v>955</v>
      </c>
      <c r="H56" s="4" t="s">
        <v>956</v>
      </c>
      <c r="I56" s="4" t="s">
        <v>1036</v>
      </c>
    </row>
    <row r="57" spans="1:9" ht="29" x14ac:dyDescent="0.35">
      <c r="A57" s="3" t="s">
        <v>75</v>
      </c>
      <c r="B57" s="3" t="s">
        <v>76</v>
      </c>
      <c r="C57" s="3" t="s">
        <v>125</v>
      </c>
      <c r="D57" s="3">
        <v>5</v>
      </c>
      <c r="E57" s="3" t="s">
        <v>927</v>
      </c>
      <c r="F57" s="3" t="s">
        <v>57</v>
      </c>
      <c r="G57" s="3" t="s">
        <v>955</v>
      </c>
      <c r="H57" s="3" t="s">
        <v>956</v>
      </c>
      <c r="I57" s="3" t="s">
        <v>1037</v>
      </c>
    </row>
    <row r="58" spans="1:9" ht="29" x14ac:dyDescent="0.35">
      <c r="A58" s="4" t="s">
        <v>77</v>
      </c>
      <c r="B58" s="4" t="s">
        <v>1038</v>
      </c>
      <c r="C58" s="4" t="s">
        <v>127</v>
      </c>
      <c r="D58" s="4">
        <v>1</v>
      </c>
      <c r="E58" s="4" t="s">
        <v>953</v>
      </c>
      <c r="F58" s="4" t="s">
        <v>954</v>
      </c>
      <c r="G58" s="4" t="s">
        <v>955</v>
      </c>
      <c r="H58" s="4" t="s">
        <v>956</v>
      </c>
      <c r="I58" s="4" t="s">
        <v>1039</v>
      </c>
    </row>
    <row r="59" spans="1:9" ht="29" x14ac:dyDescent="0.35">
      <c r="A59" s="4" t="s">
        <v>77</v>
      </c>
      <c r="B59" s="4" t="s">
        <v>1040</v>
      </c>
      <c r="C59" s="4" t="s">
        <v>127</v>
      </c>
      <c r="D59" s="4">
        <v>1</v>
      </c>
      <c r="E59" s="4" t="s">
        <v>953</v>
      </c>
      <c r="F59" s="4" t="s">
        <v>954</v>
      </c>
      <c r="G59" s="4" t="s">
        <v>959</v>
      </c>
      <c r="H59" s="4" t="s">
        <v>956</v>
      </c>
      <c r="I59" s="4" t="s">
        <v>1041</v>
      </c>
    </row>
    <row r="60" spans="1:9" ht="29" x14ac:dyDescent="0.35">
      <c r="A60" s="4" t="s">
        <v>77</v>
      </c>
      <c r="B60" s="4" t="s">
        <v>1042</v>
      </c>
      <c r="C60" s="4" t="s">
        <v>962</v>
      </c>
      <c r="D60" s="4">
        <v>2</v>
      </c>
      <c r="E60" s="4" t="s">
        <v>963</v>
      </c>
      <c r="F60" s="4" t="s">
        <v>954</v>
      </c>
      <c r="G60" s="4" t="s">
        <v>959</v>
      </c>
      <c r="H60" s="4" t="s">
        <v>956</v>
      </c>
      <c r="I60" s="4" t="s">
        <v>1043</v>
      </c>
    </row>
    <row r="61" spans="1:9" ht="29" x14ac:dyDescent="0.35">
      <c r="A61" s="3" t="s">
        <v>77</v>
      </c>
      <c r="B61" s="3" t="s">
        <v>1038</v>
      </c>
      <c r="C61" s="3" t="s">
        <v>965</v>
      </c>
      <c r="D61" s="3">
        <v>3</v>
      </c>
      <c r="E61" s="3" t="s">
        <v>966</v>
      </c>
      <c r="F61" s="3" t="s">
        <v>57</v>
      </c>
      <c r="G61" s="3" t="s">
        <v>955</v>
      </c>
      <c r="H61" s="3" t="s">
        <v>967</v>
      </c>
      <c r="I61" s="3" t="s">
        <v>1044</v>
      </c>
    </row>
    <row r="62" spans="1:9" ht="29" x14ac:dyDescent="0.35">
      <c r="A62" s="4" t="s">
        <v>77</v>
      </c>
      <c r="B62" s="4" t="s">
        <v>1038</v>
      </c>
      <c r="C62" s="4" t="s">
        <v>965</v>
      </c>
      <c r="D62" s="4">
        <v>3</v>
      </c>
      <c r="E62" s="4" t="s">
        <v>966</v>
      </c>
      <c r="F62" s="4" t="s">
        <v>954</v>
      </c>
      <c r="G62" s="4" t="s">
        <v>955</v>
      </c>
      <c r="H62" s="4" t="s">
        <v>956</v>
      </c>
      <c r="I62" s="4" t="s">
        <v>1045</v>
      </c>
    </row>
    <row r="63" spans="1:9" ht="29" x14ac:dyDescent="0.35">
      <c r="A63" s="4" t="s">
        <v>77</v>
      </c>
      <c r="B63" s="4" t="s">
        <v>1038</v>
      </c>
      <c r="C63" s="4" t="s">
        <v>145</v>
      </c>
      <c r="D63" s="4">
        <v>4</v>
      </c>
      <c r="E63" s="4" t="s">
        <v>970</v>
      </c>
      <c r="F63" s="4" t="s">
        <v>954</v>
      </c>
      <c r="G63" s="4" t="s">
        <v>955</v>
      </c>
      <c r="H63" s="4" t="s">
        <v>956</v>
      </c>
      <c r="I63" s="4" t="s">
        <v>1046</v>
      </c>
    </row>
    <row r="64" spans="1:9" ht="29" x14ac:dyDescent="0.35">
      <c r="A64" s="2" t="s">
        <v>77</v>
      </c>
      <c r="B64" s="2" t="s">
        <v>78</v>
      </c>
      <c r="C64" s="2" t="s">
        <v>125</v>
      </c>
      <c r="D64" s="2">
        <v>5</v>
      </c>
      <c r="E64" s="2" t="s">
        <v>927</v>
      </c>
      <c r="F64" s="2" t="s">
        <v>57</v>
      </c>
      <c r="G64" s="2" t="s">
        <v>955</v>
      </c>
      <c r="H64" s="2" t="s">
        <v>956</v>
      </c>
      <c r="I64" s="2" t="s">
        <v>1047</v>
      </c>
    </row>
    <row r="65" spans="1:9" ht="29" x14ac:dyDescent="0.35">
      <c r="A65" s="4" t="s">
        <v>79</v>
      </c>
      <c r="B65" s="4" t="s">
        <v>80</v>
      </c>
      <c r="C65" s="4" t="s">
        <v>127</v>
      </c>
      <c r="D65" s="4">
        <v>1</v>
      </c>
      <c r="E65" s="4" t="s">
        <v>953</v>
      </c>
      <c r="F65" s="4" t="s">
        <v>954</v>
      </c>
      <c r="G65" s="4" t="s">
        <v>955</v>
      </c>
      <c r="H65" s="4" t="s">
        <v>956</v>
      </c>
      <c r="I65" s="4" t="s">
        <v>1048</v>
      </c>
    </row>
    <row r="66" spans="1:9" ht="29" x14ac:dyDescent="0.35">
      <c r="A66" s="4" t="s">
        <v>79</v>
      </c>
      <c r="B66" s="4" t="s">
        <v>1049</v>
      </c>
      <c r="C66" s="4" t="s">
        <v>127</v>
      </c>
      <c r="D66" s="4">
        <v>1</v>
      </c>
      <c r="E66" s="4" t="s">
        <v>953</v>
      </c>
      <c r="F66" s="4" t="s">
        <v>954</v>
      </c>
      <c r="G66" s="4" t="s">
        <v>959</v>
      </c>
      <c r="H66" s="4" t="s">
        <v>956</v>
      </c>
      <c r="I66" s="4" t="s">
        <v>1050</v>
      </c>
    </row>
    <row r="67" spans="1:9" ht="29" x14ac:dyDescent="0.35">
      <c r="A67" s="4" t="s">
        <v>79</v>
      </c>
      <c r="B67" s="4" t="s">
        <v>1051</v>
      </c>
      <c r="C67" s="4" t="s">
        <v>962</v>
      </c>
      <c r="D67" s="4">
        <v>2</v>
      </c>
      <c r="E67" s="4" t="s">
        <v>963</v>
      </c>
      <c r="F67" s="4" t="s">
        <v>954</v>
      </c>
      <c r="G67" s="4" t="s">
        <v>959</v>
      </c>
      <c r="H67" s="4" t="s">
        <v>956</v>
      </c>
      <c r="I67" s="4" t="s">
        <v>1052</v>
      </c>
    </row>
    <row r="68" spans="1:9" ht="29" x14ac:dyDescent="0.35">
      <c r="A68" s="2" t="s">
        <v>79</v>
      </c>
      <c r="B68" s="2" t="s">
        <v>1053</v>
      </c>
      <c r="C68" s="2" t="s">
        <v>965</v>
      </c>
      <c r="D68" s="2">
        <v>3</v>
      </c>
      <c r="E68" s="2" t="s">
        <v>966</v>
      </c>
      <c r="F68" s="2" t="s">
        <v>57</v>
      </c>
      <c r="G68" s="2" t="s">
        <v>955</v>
      </c>
      <c r="H68" s="2" t="s">
        <v>967</v>
      </c>
      <c r="I68" s="2" t="s">
        <v>1054</v>
      </c>
    </row>
    <row r="69" spans="1:9" ht="29" x14ac:dyDescent="0.35">
      <c r="A69" s="4" t="s">
        <v>79</v>
      </c>
      <c r="B69" s="4" t="s">
        <v>1053</v>
      </c>
      <c r="C69" s="4" t="s">
        <v>965</v>
      </c>
      <c r="D69" s="4">
        <v>3</v>
      </c>
      <c r="E69" s="4" t="s">
        <v>966</v>
      </c>
      <c r="F69" s="4" t="s">
        <v>954</v>
      </c>
      <c r="G69" s="4" t="s">
        <v>955</v>
      </c>
      <c r="H69" s="4" t="s">
        <v>956</v>
      </c>
      <c r="I69" s="4" t="s">
        <v>1055</v>
      </c>
    </row>
    <row r="70" spans="1:9" ht="29" x14ac:dyDescent="0.35">
      <c r="A70" s="4" t="s">
        <v>79</v>
      </c>
      <c r="B70" s="4" t="s">
        <v>1053</v>
      </c>
      <c r="C70" s="4" t="s">
        <v>145</v>
      </c>
      <c r="D70" s="4">
        <v>4</v>
      </c>
      <c r="E70" s="4" t="s">
        <v>970</v>
      </c>
      <c r="F70" s="4" t="s">
        <v>954</v>
      </c>
      <c r="G70" s="4" t="s">
        <v>955</v>
      </c>
      <c r="H70" s="4" t="s">
        <v>956</v>
      </c>
      <c r="I70" s="4" t="s">
        <v>1056</v>
      </c>
    </row>
    <row r="71" spans="1:9" ht="29" x14ac:dyDescent="0.35">
      <c r="A71" s="3" t="s">
        <v>79</v>
      </c>
      <c r="B71" s="3" t="s">
        <v>1053</v>
      </c>
      <c r="C71" s="3" t="s">
        <v>125</v>
      </c>
      <c r="D71" s="3">
        <v>5</v>
      </c>
      <c r="E71" s="3" t="s">
        <v>927</v>
      </c>
      <c r="F71" s="3" t="s">
        <v>57</v>
      </c>
      <c r="G71" s="3" t="s">
        <v>955</v>
      </c>
      <c r="H71" s="3" t="s">
        <v>956</v>
      </c>
      <c r="I71" s="3" t="s">
        <v>1057</v>
      </c>
    </row>
    <row r="72" spans="1:9" ht="29" x14ac:dyDescent="0.35">
      <c r="A72" s="4" t="s">
        <v>81</v>
      </c>
      <c r="B72" s="4" t="s">
        <v>1058</v>
      </c>
      <c r="C72" s="4" t="s">
        <v>127</v>
      </c>
      <c r="D72" s="4">
        <v>1</v>
      </c>
      <c r="E72" s="4" t="s">
        <v>953</v>
      </c>
      <c r="F72" s="4" t="s">
        <v>954</v>
      </c>
      <c r="G72" s="4" t="s">
        <v>955</v>
      </c>
      <c r="H72" s="4" t="s">
        <v>956</v>
      </c>
      <c r="I72" s="4" t="s">
        <v>1059</v>
      </c>
    </row>
    <row r="73" spans="1:9" ht="29" x14ac:dyDescent="0.35">
      <c r="A73" s="4" t="s">
        <v>81</v>
      </c>
      <c r="B73" s="4" t="s">
        <v>1060</v>
      </c>
      <c r="C73" s="4" t="s">
        <v>127</v>
      </c>
      <c r="D73" s="4">
        <v>1</v>
      </c>
      <c r="E73" s="4" t="s">
        <v>953</v>
      </c>
      <c r="F73" s="4" t="s">
        <v>954</v>
      </c>
      <c r="G73" s="4" t="s">
        <v>959</v>
      </c>
      <c r="H73" s="4" t="s">
        <v>956</v>
      </c>
      <c r="I73" s="4" t="s">
        <v>1061</v>
      </c>
    </row>
    <row r="74" spans="1:9" ht="29" x14ac:dyDescent="0.35">
      <c r="A74" s="4" t="s">
        <v>81</v>
      </c>
      <c r="B74" s="4" t="s">
        <v>1062</v>
      </c>
      <c r="C74" s="4" t="s">
        <v>962</v>
      </c>
      <c r="D74" s="4">
        <v>2</v>
      </c>
      <c r="E74" s="4" t="s">
        <v>963</v>
      </c>
      <c r="F74" s="4" t="s">
        <v>954</v>
      </c>
      <c r="G74" s="4" t="s">
        <v>959</v>
      </c>
      <c r="H74" s="4" t="s">
        <v>956</v>
      </c>
      <c r="I74" s="4" t="s">
        <v>1063</v>
      </c>
    </row>
    <row r="75" spans="1:9" ht="29" x14ac:dyDescent="0.35">
      <c r="A75" s="3" t="s">
        <v>81</v>
      </c>
      <c r="B75" s="3" t="s">
        <v>82</v>
      </c>
      <c r="C75" s="3" t="s">
        <v>965</v>
      </c>
      <c r="D75" s="3">
        <v>3</v>
      </c>
      <c r="E75" s="3" t="s">
        <v>966</v>
      </c>
      <c r="F75" s="3" t="s">
        <v>57</v>
      </c>
      <c r="G75" s="3" t="s">
        <v>955</v>
      </c>
      <c r="H75" s="3" t="s">
        <v>967</v>
      </c>
      <c r="I75" s="3" t="s">
        <v>1064</v>
      </c>
    </row>
    <row r="76" spans="1:9" ht="29" x14ac:dyDescent="0.35">
      <c r="A76" s="4" t="s">
        <v>81</v>
      </c>
      <c r="B76" s="4" t="s">
        <v>82</v>
      </c>
      <c r="C76" s="4" t="s">
        <v>965</v>
      </c>
      <c r="D76" s="4">
        <v>3</v>
      </c>
      <c r="E76" s="4" t="s">
        <v>966</v>
      </c>
      <c r="F76" s="4" t="s">
        <v>954</v>
      </c>
      <c r="G76" s="4" t="s">
        <v>955</v>
      </c>
      <c r="H76" s="4" t="s">
        <v>956</v>
      </c>
      <c r="I76" s="4" t="s">
        <v>1065</v>
      </c>
    </row>
    <row r="77" spans="1:9" ht="29" x14ac:dyDescent="0.35">
      <c r="A77" s="4" t="s">
        <v>81</v>
      </c>
      <c r="B77" s="4" t="s">
        <v>82</v>
      </c>
      <c r="C77" s="4" t="s">
        <v>145</v>
      </c>
      <c r="D77" s="4">
        <v>4</v>
      </c>
      <c r="E77" s="4" t="s">
        <v>970</v>
      </c>
      <c r="F77" s="4" t="s">
        <v>954</v>
      </c>
      <c r="G77" s="4" t="s">
        <v>955</v>
      </c>
      <c r="H77" s="4" t="s">
        <v>956</v>
      </c>
      <c r="I77" s="4" t="s">
        <v>1066</v>
      </c>
    </row>
    <row r="78" spans="1:9" ht="29" x14ac:dyDescent="0.35">
      <c r="A78" s="2" t="s">
        <v>81</v>
      </c>
      <c r="B78" s="2" t="s">
        <v>82</v>
      </c>
      <c r="C78" s="2" t="s">
        <v>125</v>
      </c>
      <c r="D78" s="2">
        <v>5</v>
      </c>
      <c r="E78" s="2" t="s">
        <v>927</v>
      </c>
      <c r="F78" s="2" t="s">
        <v>57</v>
      </c>
      <c r="G78" s="2" t="s">
        <v>955</v>
      </c>
      <c r="H78" s="2" t="s">
        <v>956</v>
      </c>
      <c r="I78" s="2" t="s">
        <v>1067</v>
      </c>
    </row>
    <row r="79" spans="1:9" ht="29" x14ac:dyDescent="0.35">
      <c r="A79" s="4" t="s">
        <v>83</v>
      </c>
      <c r="B79" s="4" t="s">
        <v>84</v>
      </c>
      <c r="C79" s="4" t="s">
        <v>127</v>
      </c>
      <c r="D79" s="4">
        <v>1</v>
      </c>
      <c r="E79" s="4" t="s">
        <v>983</v>
      </c>
      <c r="F79" s="4" t="s">
        <v>954</v>
      </c>
      <c r="G79" s="4" t="s">
        <v>955</v>
      </c>
      <c r="H79" s="4" t="s">
        <v>956</v>
      </c>
      <c r="I79" s="4" t="s">
        <v>1068</v>
      </c>
    </row>
    <row r="80" spans="1:9" ht="29" x14ac:dyDescent="0.35">
      <c r="A80" s="4" t="s">
        <v>83</v>
      </c>
      <c r="B80" s="4" t="s">
        <v>1069</v>
      </c>
      <c r="C80" s="4" t="s">
        <v>127</v>
      </c>
      <c r="D80" s="4">
        <v>1</v>
      </c>
      <c r="E80" s="4" t="s">
        <v>983</v>
      </c>
      <c r="F80" s="4" t="s">
        <v>954</v>
      </c>
      <c r="G80" s="4" t="s">
        <v>959</v>
      </c>
      <c r="H80" s="4" t="s">
        <v>956</v>
      </c>
      <c r="I80" s="4" t="s">
        <v>1070</v>
      </c>
    </row>
    <row r="81" spans="1:9" ht="29" x14ac:dyDescent="0.35">
      <c r="A81" s="4" t="s">
        <v>83</v>
      </c>
      <c r="B81" s="4" t="s">
        <v>1071</v>
      </c>
      <c r="C81" s="4" t="s">
        <v>962</v>
      </c>
      <c r="D81" s="4">
        <v>2</v>
      </c>
      <c r="E81" s="4" t="s">
        <v>963</v>
      </c>
      <c r="F81" s="4" t="s">
        <v>954</v>
      </c>
      <c r="G81" s="4" t="s">
        <v>959</v>
      </c>
      <c r="H81" s="4" t="s">
        <v>956</v>
      </c>
      <c r="I81" s="4" t="s">
        <v>1072</v>
      </c>
    </row>
    <row r="82" spans="1:9" ht="29" x14ac:dyDescent="0.35">
      <c r="A82" s="2" t="s">
        <v>83</v>
      </c>
      <c r="B82" s="2" t="s">
        <v>84</v>
      </c>
      <c r="C82" s="2" t="s">
        <v>965</v>
      </c>
      <c r="D82" s="2">
        <v>3</v>
      </c>
      <c r="E82" s="2" t="s">
        <v>966</v>
      </c>
      <c r="F82" s="2" t="s">
        <v>57</v>
      </c>
      <c r="G82" s="2" t="s">
        <v>955</v>
      </c>
      <c r="H82" s="2" t="s">
        <v>967</v>
      </c>
      <c r="I82" s="2" t="s">
        <v>1073</v>
      </c>
    </row>
    <row r="83" spans="1:9" ht="29" x14ac:dyDescent="0.35">
      <c r="A83" s="4" t="s">
        <v>83</v>
      </c>
      <c r="B83" s="4" t="s">
        <v>84</v>
      </c>
      <c r="C83" s="4" t="s">
        <v>965</v>
      </c>
      <c r="D83" s="4">
        <v>3</v>
      </c>
      <c r="E83" s="4" t="s">
        <v>966</v>
      </c>
      <c r="F83" s="4" t="s">
        <v>954</v>
      </c>
      <c r="G83" s="4" t="s">
        <v>955</v>
      </c>
      <c r="H83" s="4" t="s">
        <v>956</v>
      </c>
      <c r="I83" s="4" t="s">
        <v>1074</v>
      </c>
    </row>
    <row r="84" spans="1:9" ht="29" x14ac:dyDescent="0.35">
      <c r="A84" s="4" t="s">
        <v>83</v>
      </c>
      <c r="B84" s="4" t="s">
        <v>84</v>
      </c>
      <c r="C84" s="4" t="s">
        <v>145</v>
      </c>
      <c r="D84" s="4">
        <v>4</v>
      </c>
      <c r="E84" s="4" t="s">
        <v>970</v>
      </c>
      <c r="F84" s="4" t="s">
        <v>954</v>
      </c>
      <c r="G84" s="4" t="s">
        <v>955</v>
      </c>
      <c r="H84" s="4" t="s">
        <v>956</v>
      </c>
      <c r="I84" s="4" t="s">
        <v>1075</v>
      </c>
    </row>
    <row r="85" spans="1:9" ht="29" x14ac:dyDescent="0.35">
      <c r="A85" s="3" t="s">
        <v>83</v>
      </c>
      <c r="B85" s="3" t="s">
        <v>84</v>
      </c>
      <c r="C85" s="3" t="s">
        <v>125</v>
      </c>
      <c r="D85" s="3">
        <v>5</v>
      </c>
      <c r="E85" s="3" t="s">
        <v>927</v>
      </c>
      <c r="F85" s="3" t="s">
        <v>57</v>
      </c>
      <c r="G85" s="3" t="s">
        <v>955</v>
      </c>
      <c r="H85" s="3" t="s">
        <v>956</v>
      </c>
      <c r="I85" s="3" t="s">
        <v>1076</v>
      </c>
    </row>
    <row r="86" spans="1:9" x14ac:dyDescent="0.35">
      <c r="A86" s="4" t="s">
        <v>85</v>
      </c>
      <c r="B86" s="4" t="s">
        <v>86</v>
      </c>
      <c r="C86" s="4" t="s">
        <v>127</v>
      </c>
      <c r="D86" s="4">
        <v>1</v>
      </c>
      <c r="E86" s="4" t="s">
        <v>953</v>
      </c>
      <c r="F86" s="4" t="s">
        <v>954</v>
      </c>
      <c r="G86" s="4" t="s">
        <v>955</v>
      </c>
      <c r="H86" s="4" t="s">
        <v>956</v>
      </c>
      <c r="I86" s="4" t="s">
        <v>1077</v>
      </c>
    </row>
    <row r="87" spans="1:9" x14ac:dyDescent="0.35">
      <c r="A87" s="4" t="s">
        <v>85</v>
      </c>
      <c r="B87" s="4" t="s">
        <v>1078</v>
      </c>
      <c r="C87" s="4" t="s">
        <v>127</v>
      </c>
      <c r="D87" s="4">
        <v>1</v>
      </c>
      <c r="E87" s="4" t="s">
        <v>953</v>
      </c>
      <c r="F87" s="4" t="s">
        <v>954</v>
      </c>
      <c r="G87" s="4" t="s">
        <v>959</v>
      </c>
      <c r="H87" s="4" t="s">
        <v>956</v>
      </c>
      <c r="I87" s="4" t="s">
        <v>1079</v>
      </c>
    </row>
    <row r="88" spans="1:9" x14ac:dyDescent="0.35">
      <c r="A88" s="4" t="s">
        <v>85</v>
      </c>
      <c r="B88" s="4" t="s">
        <v>86</v>
      </c>
      <c r="C88" s="4" t="s">
        <v>962</v>
      </c>
      <c r="D88" s="4">
        <v>2</v>
      </c>
      <c r="E88" s="4" t="s">
        <v>963</v>
      </c>
      <c r="F88" s="4" t="s">
        <v>954</v>
      </c>
      <c r="G88" s="4" t="s">
        <v>959</v>
      </c>
      <c r="H88" s="4" t="s">
        <v>956</v>
      </c>
      <c r="I88" s="4" t="s">
        <v>1080</v>
      </c>
    </row>
    <row r="89" spans="1:9" x14ac:dyDescent="0.35">
      <c r="A89" s="3" t="s">
        <v>85</v>
      </c>
      <c r="B89" s="3" t="s">
        <v>86</v>
      </c>
      <c r="C89" s="3" t="s">
        <v>965</v>
      </c>
      <c r="D89" s="3">
        <v>3</v>
      </c>
      <c r="E89" s="3" t="s">
        <v>966</v>
      </c>
      <c r="F89" s="3" t="s">
        <v>57</v>
      </c>
      <c r="G89" s="3" t="s">
        <v>955</v>
      </c>
      <c r="H89" s="3" t="s">
        <v>967</v>
      </c>
      <c r="I89" s="3" t="s">
        <v>1081</v>
      </c>
    </row>
    <row r="90" spans="1:9" x14ac:dyDescent="0.35">
      <c r="A90" s="4" t="s">
        <v>85</v>
      </c>
      <c r="B90" s="4" t="s">
        <v>86</v>
      </c>
      <c r="C90" s="4" t="s">
        <v>965</v>
      </c>
      <c r="D90" s="4">
        <v>3</v>
      </c>
      <c r="E90" s="4" t="s">
        <v>966</v>
      </c>
      <c r="F90" s="4" t="s">
        <v>954</v>
      </c>
      <c r="G90" s="4" t="s">
        <v>955</v>
      </c>
      <c r="H90" s="4" t="s">
        <v>956</v>
      </c>
      <c r="I90" s="4" t="s">
        <v>1082</v>
      </c>
    </row>
    <row r="91" spans="1:9" x14ac:dyDescent="0.35">
      <c r="A91" s="4" t="s">
        <v>85</v>
      </c>
      <c r="B91" s="4" t="s">
        <v>86</v>
      </c>
      <c r="C91" s="4" t="s">
        <v>145</v>
      </c>
      <c r="D91" s="4">
        <v>4</v>
      </c>
      <c r="E91" s="4" t="s">
        <v>970</v>
      </c>
      <c r="F91" s="4" t="s">
        <v>954</v>
      </c>
      <c r="G91" s="4" t="s">
        <v>955</v>
      </c>
      <c r="H91" s="4" t="s">
        <v>956</v>
      </c>
      <c r="I91" s="4" t="s">
        <v>1083</v>
      </c>
    </row>
    <row r="92" spans="1:9" x14ac:dyDescent="0.35">
      <c r="A92" s="4" t="s">
        <v>85</v>
      </c>
      <c r="B92" s="4" t="s">
        <v>86</v>
      </c>
      <c r="C92" s="4" t="s">
        <v>125</v>
      </c>
      <c r="D92" s="4">
        <v>5</v>
      </c>
      <c r="E92" s="4" t="s">
        <v>927</v>
      </c>
      <c r="F92" s="4" t="s">
        <v>954</v>
      </c>
      <c r="G92" s="4" t="s">
        <v>955</v>
      </c>
      <c r="H92" s="4" t="s">
        <v>956</v>
      </c>
      <c r="I92" s="4" t="s">
        <v>1084</v>
      </c>
    </row>
    <row r="93" spans="1:9" x14ac:dyDescent="0.35">
      <c r="A93" s="3" t="s">
        <v>85</v>
      </c>
      <c r="B93" s="3" t="s">
        <v>86</v>
      </c>
      <c r="C93" s="3" t="s">
        <v>185</v>
      </c>
      <c r="D93" s="3">
        <v>6</v>
      </c>
      <c r="E93" s="3" t="s">
        <v>944</v>
      </c>
      <c r="F93" s="3" t="s">
        <v>57</v>
      </c>
      <c r="G93" s="3" t="s">
        <v>955</v>
      </c>
      <c r="H93" s="3" t="s">
        <v>956</v>
      </c>
      <c r="I93" s="3" t="s">
        <v>1085</v>
      </c>
    </row>
    <row r="94" spans="1:9" ht="29" x14ac:dyDescent="0.35">
      <c r="A94" s="4" t="s">
        <v>87</v>
      </c>
      <c r="B94" s="4" t="s">
        <v>88</v>
      </c>
      <c r="C94" s="4" t="s">
        <v>127</v>
      </c>
      <c r="D94" s="4">
        <v>1</v>
      </c>
      <c r="E94" s="4" t="s">
        <v>1002</v>
      </c>
      <c r="F94" s="4" t="s">
        <v>954</v>
      </c>
      <c r="G94" s="4" t="s">
        <v>955</v>
      </c>
      <c r="H94" s="4" t="s">
        <v>956</v>
      </c>
      <c r="I94" s="4" t="s">
        <v>1086</v>
      </c>
    </row>
    <row r="95" spans="1:9" ht="29" x14ac:dyDescent="0.35">
      <c r="A95" s="4" t="s">
        <v>87</v>
      </c>
      <c r="B95" s="4" t="s">
        <v>1087</v>
      </c>
      <c r="C95" s="4" t="s">
        <v>127</v>
      </c>
      <c r="D95" s="4">
        <v>1</v>
      </c>
      <c r="E95" s="4" t="s">
        <v>1002</v>
      </c>
      <c r="F95" s="4" t="s">
        <v>954</v>
      </c>
      <c r="G95" s="4" t="s">
        <v>959</v>
      </c>
      <c r="H95" s="4" t="s">
        <v>956</v>
      </c>
      <c r="I95" s="4" t="s">
        <v>1088</v>
      </c>
    </row>
    <row r="96" spans="1:9" ht="29" x14ac:dyDescent="0.35">
      <c r="A96" s="4" t="s">
        <v>87</v>
      </c>
      <c r="B96" s="4" t="s">
        <v>88</v>
      </c>
      <c r="C96" s="4" t="s">
        <v>962</v>
      </c>
      <c r="D96" s="4">
        <v>2</v>
      </c>
      <c r="E96" s="4" t="s">
        <v>963</v>
      </c>
      <c r="F96" s="4" t="s">
        <v>954</v>
      </c>
      <c r="G96" s="4" t="s">
        <v>959</v>
      </c>
      <c r="H96" s="4" t="s">
        <v>956</v>
      </c>
      <c r="I96" s="4" t="s">
        <v>1089</v>
      </c>
    </row>
    <row r="97" spans="1:9" ht="29" x14ac:dyDescent="0.35">
      <c r="A97" s="3" t="s">
        <v>87</v>
      </c>
      <c r="B97" s="3" t="s">
        <v>88</v>
      </c>
      <c r="C97" s="3" t="s">
        <v>965</v>
      </c>
      <c r="D97" s="3">
        <v>3</v>
      </c>
      <c r="E97" s="3" t="s">
        <v>966</v>
      </c>
      <c r="F97" s="3" t="s">
        <v>57</v>
      </c>
      <c r="G97" s="3" t="s">
        <v>955</v>
      </c>
      <c r="H97" s="3" t="s">
        <v>967</v>
      </c>
      <c r="I97" s="3" t="s">
        <v>1090</v>
      </c>
    </row>
    <row r="98" spans="1:9" ht="29" x14ac:dyDescent="0.35">
      <c r="A98" s="4" t="s">
        <v>87</v>
      </c>
      <c r="B98" s="4" t="s">
        <v>88</v>
      </c>
      <c r="C98" s="4" t="s">
        <v>965</v>
      </c>
      <c r="D98" s="4">
        <v>3</v>
      </c>
      <c r="E98" s="4" t="s">
        <v>966</v>
      </c>
      <c r="F98" s="4" t="s">
        <v>954</v>
      </c>
      <c r="G98" s="4" t="s">
        <v>955</v>
      </c>
      <c r="H98" s="4" t="s">
        <v>956</v>
      </c>
      <c r="I98" s="4" t="s">
        <v>1091</v>
      </c>
    </row>
    <row r="99" spans="1:9" ht="29" x14ac:dyDescent="0.35">
      <c r="A99" s="4" t="s">
        <v>87</v>
      </c>
      <c r="B99" s="4" t="s">
        <v>88</v>
      </c>
      <c r="C99" s="4" t="s">
        <v>145</v>
      </c>
      <c r="D99" s="4">
        <v>4</v>
      </c>
      <c r="E99" s="4" t="s">
        <v>970</v>
      </c>
      <c r="F99" s="4" t="s">
        <v>954</v>
      </c>
      <c r="G99" s="4" t="s">
        <v>955</v>
      </c>
      <c r="H99" s="4" t="s">
        <v>956</v>
      </c>
      <c r="I99" s="4" t="s">
        <v>1092</v>
      </c>
    </row>
    <row r="100" spans="1:9" ht="29" x14ac:dyDescent="0.35">
      <c r="A100" s="4" t="s">
        <v>87</v>
      </c>
      <c r="B100" s="4" t="s">
        <v>88</v>
      </c>
      <c r="C100" s="4" t="s">
        <v>125</v>
      </c>
      <c r="D100" s="4">
        <v>5</v>
      </c>
      <c r="E100" s="4" t="s">
        <v>927</v>
      </c>
      <c r="F100" s="4" t="s">
        <v>954</v>
      </c>
      <c r="G100" s="4" t="s">
        <v>955</v>
      </c>
      <c r="H100" s="4" t="s">
        <v>956</v>
      </c>
      <c r="I100" s="4" t="s">
        <v>1093</v>
      </c>
    </row>
    <row r="101" spans="1:9" ht="29" x14ac:dyDescent="0.35">
      <c r="A101" s="3" t="s">
        <v>87</v>
      </c>
      <c r="B101" s="3" t="s">
        <v>88</v>
      </c>
      <c r="C101" s="3" t="s">
        <v>185</v>
      </c>
      <c r="D101" s="3">
        <v>6</v>
      </c>
      <c r="E101" s="3" t="s">
        <v>946</v>
      </c>
      <c r="F101" s="3" t="s">
        <v>57</v>
      </c>
      <c r="G101" s="3" t="s">
        <v>955</v>
      </c>
      <c r="H101" s="3" t="s">
        <v>956</v>
      </c>
      <c r="I101" s="3" t="s">
        <v>1094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6"/>
  <sheetViews>
    <sheetView topLeftCell="A2" zoomScale="70" zoomScaleNormal="70" workbookViewId="0"/>
  </sheetViews>
  <sheetFormatPr baseColWidth="10" defaultColWidth="8.7265625" defaultRowHeight="14.5" x14ac:dyDescent="0.35"/>
  <cols>
    <col min="1" max="1" width="28" customWidth="1"/>
    <col min="2" max="2" width="14" customWidth="1"/>
    <col min="3" max="3" width="8" customWidth="1"/>
    <col min="4" max="4" width="12" customWidth="1"/>
    <col min="5" max="5" width="40" customWidth="1"/>
    <col min="6" max="7" width="30" customWidth="1"/>
    <col min="8" max="8" width="25" customWidth="1"/>
    <col min="9" max="9" width="20" customWidth="1"/>
    <col min="10" max="10" width="8" customWidth="1"/>
    <col min="11" max="11" width="14" customWidth="1"/>
    <col min="12" max="12" width="40" customWidth="1"/>
  </cols>
  <sheetData>
    <row r="1" spans="1:12" ht="26" x14ac:dyDescent="0.35">
      <c r="A1" s="1" t="s">
        <v>1095</v>
      </c>
      <c r="B1" s="1" t="s">
        <v>1096</v>
      </c>
      <c r="C1" s="1" t="s">
        <v>917</v>
      </c>
      <c r="D1" s="1" t="s">
        <v>949</v>
      </c>
      <c r="E1" s="1" t="s">
        <v>1097</v>
      </c>
      <c r="F1" s="1" t="s">
        <v>1098</v>
      </c>
      <c r="G1" s="1" t="s">
        <v>922</v>
      </c>
      <c r="H1" s="1" t="s">
        <v>923</v>
      </c>
      <c r="I1" s="1" t="s">
        <v>925</v>
      </c>
      <c r="J1" s="1" t="s">
        <v>1099</v>
      </c>
      <c r="K1" s="1" t="s">
        <v>1100</v>
      </c>
      <c r="L1" s="1" t="s">
        <v>952</v>
      </c>
    </row>
    <row r="2" spans="1:12" ht="101.5" x14ac:dyDescent="0.35">
      <c r="A2" s="2" t="s">
        <v>126</v>
      </c>
      <c r="B2" s="2" t="s">
        <v>66</v>
      </c>
      <c r="C2" s="2" t="s">
        <v>127</v>
      </c>
      <c r="D2" s="2" t="s">
        <v>1101</v>
      </c>
      <c r="E2" s="2" t="s">
        <v>134</v>
      </c>
      <c r="F2" s="2" t="s">
        <v>135</v>
      </c>
      <c r="G2" s="2" t="s">
        <v>929</v>
      </c>
      <c r="H2" s="2" t="s">
        <v>929</v>
      </c>
      <c r="I2" s="2" t="s">
        <v>929</v>
      </c>
      <c r="J2" s="2">
        <v>2</v>
      </c>
      <c r="K2" s="2">
        <v>14851</v>
      </c>
      <c r="L2" s="2" t="s">
        <v>1102</v>
      </c>
    </row>
    <row r="3" spans="1:12" ht="101.5" x14ac:dyDescent="0.35">
      <c r="A3" s="3" t="s">
        <v>146</v>
      </c>
      <c r="B3" s="3" t="s">
        <v>63</v>
      </c>
      <c r="C3" s="3" t="s">
        <v>127</v>
      </c>
      <c r="D3" s="3" t="s">
        <v>1101</v>
      </c>
      <c r="E3" s="3" t="s">
        <v>154</v>
      </c>
      <c r="F3" s="3" t="s">
        <v>155</v>
      </c>
      <c r="G3" s="3" t="s">
        <v>929</v>
      </c>
      <c r="H3" s="3" t="s">
        <v>929</v>
      </c>
      <c r="I3" s="3" t="s">
        <v>929</v>
      </c>
      <c r="J3" s="3">
        <v>2</v>
      </c>
      <c r="K3" s="3">
        <v>0</v>
      </c>
      <c r="L3" s="3" t="s">
        <v>1103</v>
      </c>
    </row>
    <row r="4" spans="1:12" ht="116" x14ac:dyDescent="0.35">
      <c r="A4" s="2" t="s">
        <v>165</v>
      </c>
      <c r="B4" s="2" t="s">
        <v>60</v>
      </c>
      <c r="C4" s="2" t="s">
        <v>166</v>
      </c>
      <c r="D4" s="2" t="s">
        <v>1101</v>
      </c>
      <c r="E4" s="2" t="s">
        <v>1104</v>
      </c>
      <c r="F4" s="2" t="s">
        <v>175</v>
      </c>
      <c r="G4" s="2" t="s">
        <v>929</v>
      </c>
      <c r="H4" s="2" t="s">
        <v>929</v>
      </c>
      <c r="I4" s="2" t="s">
        <v>929</v>
      </c>
      <c r="J4" s="2">
        <v>2</v>
      </c>
      <c r="K4" s="2">
        <v>0</v>
      </c>
      <c r="L4" s="2" t="s">
        <v>1105</v>
      </c>
    </row>
    <row r="5" spans="1:12" ht="116" x14ac:dyDescent="0.35">
      <c r="A5" s="3" t="s">
        <v>186</v>
      </c>
      <c r="B5" s="3" t="s">
        <v>87</v>
      </c>
      <c r="C5" s="3" t="s">
        <v>127</v>
      </c>
      <c r="D5" s="3" t="s">
        <v>1101</v>
      </c>
      <c r="E5" s="3" t="s">
        <v>1106</v>
      </c>
      <c r="F5" s="3" t="s">
        <v>194</v>
      </c>
      <c r="G5" s="3" t="s">
        <v>929</v>
      </c>
      <c r="H5" s="3" t="s">
        <v>929</v>
      </c>
      <c r="I5" s="3" t="s">
        <v>929</v>
      </c>
      <c r="J5" s="3">
        <v>4</v>
      </c>
      <c r="K5" s="3">
        <v>1115565001895</v>
      </c>
      <c r="L5" s="3" t="s">
        <v>1107</v>
      </c>
    </row>
    <row r="6" spans="1:12" ht="87" x14ac:dyDescent="0.35">
      <c r="A6" s="2" t="s">
        <v>216</v>
      </c>
      <c r="B6" s="2" t="s">
        <v>68</v>
      </c>
      <c r="C6" s="2" t="s">
        <v>127</v>
      </c>
      <c r="D6" s="2" t="s">
        <v>1108</v>
      </c>
      <c r="E6" s="2" t="s">
        <v>224</v>
      </c>
      <c r="F6" s="2" t="s">
        <v>225</v>
      </c>
      <c r="G6" s="2" t="s">
        <v>929</v>
      </c>
      <c r="H6" s="2" t="s">
        <v>929</v>
      </c>
      <c r="I6" s="2" t="s">
        <v>929</v>
      </c>
      <c r="J6" s="2">
        <v>2</v>
      </c>
      <c r="K6" s="2">
        <v>14486</v>
      </c>
      <c r="L6" s="2" t="s">
        <v>1109</v>
      </c>
    </row>
    <row r="7" spans="1:12" ht="101.5" x14ac:dyDescent="0.35">
      <c r="A7" s="3" t="s">
        <v>234</v>
      </c>
      <c r="B7" s="3" t="s">
        <v>73</v>
      </c>
      <c r="C7" s="3" t="s">
        <v>127</v>
      </c>
      <c r="D7" s="3" t="s">
        <v>1110</v>
      </c>
      <c r="E7" s="3" t="s">
        <v>1111</v>
      </c>
      <c r="F7" s="3" t="s">
        <v>243</v>
      </c>
      <c r="G7" s="3" t="s">
        <v>929</v>
      </c>
      <c r="H7" s="3" t="s">
        <v>929</v>
      </c>
      <c r="I7" s="3" t="s">
        <v>929</v>
      </c>
      <c r="J7" s="3">
        <v>2</v>
      </c>
      <c r="K7" s="3">
        <v>6708</v>
      </c>
      <c r="L7" s="3" t="s">
        <v>1112</v>
      </c>
    </row>
    <row r="8" spans="1:12" ht="101.5" x14ac:dyDescent="0.35">
      <c r="A8" s="2" t="s">
        <v>252</v>
      </c>
      <c r="B8" s="2" t="s">
        <v>55</v>
      </c>
      <c r="C8" s="2" t="s">
        <v>166</v>
      </c>
      <c r="D8" s="2" t="s">
        <v>1113</v>
      </c>
      <c r="E8" s="2" t="s">
        <v>1114</v>
      </c>
      <c r="F8" s="2" t="s">
        <v>260</v>
      </c>
      <c r="G8" s="2" t="s">
        <v>929</v>
      </c>
      <c r="H8" s="2" t="s">
        <v>929</v>
      </c>
      <c r="I8" s="2" t="s">
        <v>929</v>
      </c>
      <c r="J8" s="2">
        <v>2</v>
      </c>
      <c r="K8" s="2">
        <v>0</v>
      </c>
      <c r="L8" s="2" t="s">
        <v>1115</v>
      </c>
    </row>
    <row r="9" spans="1:12" ht="101.5" x14ac:dyDescent="0.35">
      <c r="A9" s="3" t="s">
        <v>270</v>
      </c>
      <c r="B9" s="3" t="s">
        <v>79</v>
      </c>
      <c r="C9" s="3" t="s">
        <v>127</v>
      </c>
      <c r="D9" s="3" t="s">
        <v>1116</v>
      </c>
      <c r="E9" s="3" t="s">
        <v>1117</v>
      </c>
      <c r="F9" s="3" t="s">
        <v>277</v>
      </c>
      <c r="G9" s="3" t="s">
        <v>929</v>
      </c>
      <c r="H9" s="3" t="s">
        <v>929</v>
      </c>
      <c r="I9" s="3" t="s">
        <v>929</v>
      </c>
      <c r="J9" s="3">
        <v>2</v>
      </c>
      <c r="K9" s="3">
        <v>0</v>
      </c>
      <c r="L9" s="3" t="s">
        <v>1118</v>
      </c>
    </row>
    <row r="10" spans="1:12" ht="87" x14ac:dyDescent="0.35">
      <c r="A10" s="2" t="s">
        <v>285</v>
      </c>
      <c r="B10" s="2" t="s">
        <v>75</v>
      </c>
      <c r="C10" s="2" t="s">
        <v>127</v>
      </c>
      <c r="D10" s="2" t="s">
        <v>1116</v>
      </c>
      <c r="E10" s="2" t="s">
        <v>292</v>
      </c>
      <c r="F10" s="2" t="s">
        <v>293</v>
      </c>
      <c r="G10" s="2" t="s">
        <v>929</v>
      </c>
      <c r="H10" s="2" t="s">
        <v>929</v>
      </c>
      <c r="I10" s="2" t="s">
        <v>929</v>
      </c>
      <c r="J10" s="2">
        <v>2</v>
      </c>
      <c r="K10" s="2">
        <v>0</v>
      </c>
      <c r="L10" s="2" t="s">
        <v>1119</v>
      </c>
    </row>
    <row r="11" spans="1:12" ht="116" x14ac:dyDescent="0.35">
      <c r="A11" s="3" t="s">
        <v>1120</v>
      </c>
      <c r="B11" s="3" t="s">
        <v>77</v>
      </c>
      <c r="C11" s="3" t="s">
        <v>166</v>
      </c>
      <c r="D11" s="3" t="s">
        <v>1121</v>
      </c>
      <c r="E11" s="3" t="s">
        <v>929</v>
      </c>
      <c r="F11" s="3" t="s">
        <v>1122</v>
      </c>
      <c r="G11" s="3" t="s">
        <v>929</v>
      </c>
      <c r="H11" s="3" t="s">
        <v>929</v>
      </c>
      <c r="I11" s="3" t="s">
        <v>929</v>
      </c>
      <c r="J11" s="3">
        <v>0</v>
      </c>
      <c r="K11" s="3">
        <v>0</v>
      </c>
      <c r="L11" s="3" t="s">
        <v>1123</v>
      </c>
    </row>
    <row r="12" spans="1:12" ht="29" x14ac:dyDescent="0.35">
      <c r="A12" s="2" t="s">
        <v>302</v>
      </c>
      <c r="B12" s="2" t="s">
        <v>81</v>
      </c>
      <c r="C12" s="2" t="s">
        <v>127</v>
      </c>
      <c r="D12" s="2" t="s">
        <v>1121</v>
      </c>
      <c r="E12" s="2" t="s">
        <v>929</v>
      </c>
      <c r="F12" s="2" t="s">
        <v>310</v>
      </c>
      <c r="G12" s="2" t="s">
        <v>929</v>
      </c>
      <c r="H12" s="2" t="s">
        <v>929</v>
      </c>
      <c r="I12" s="2" t="s">
        <v>929</v>
      </c>
      <c r="J12" s="2">
        <v>2</v>
      </c>
      <c r="K12" s="2">
        <v>275831</v>
      </c>
      <c r="L12" s="2" t="s">
        <v>1124</v>
      </c>
    </row>
    <row r="13" spans="1:12" ht="87" x14ac:dyDescent="0.35">
      <c r="A13" s="3" t="s">
        <v>318</v>
      </c>
      <c r="B13" s="3" t="s">
        <v>77</v>
      </c>
      <c r="C13" s="3" t="s">
        <v>127</v>
      </c>
      <c r="D13" s="3" t="s">
        <v>1125</v>
      </c>
      <c r="E13" s="3" t="s">
        <v>325</v>
      </c>
      <c r="F13" s="3" t="s">
        <v>326</v>
      </c>
      <c r="G13" s="3" t="s">
        <v>929</v>
      </c>
      <c r="H13" s="3" t="s">
        <v>929</v>
      </c>
      <c r="I13" s="3" t="s">
        <v>929</v>
      </c>
      <c r="J13" s="3">
        <v>1</v>
      </c>
      <c r="K13" s="3">
        <v>0</v>
      </c>
      <c r="L13" s="3" t="s">
        <v>1126</v>
      </c>
    </row>
    <row r="14" spans="1:12" ht="58" x14ac:dyDescent="0.35">
      <c r="A14" s="2" t="s">
        <v>329</v>
      </c>
      <c r="B14" s="2" t="s">
        <v>77</v>
      </c>
      <c r="C14" s="2" t="s">
        <v>127</v>
      </c>
      <c r="D14" s="2" t="s">
        <v>1125</v>
      </c>
      <c r="E14" s="2" t="s">
        <v>335</v>
      </c>
      <c r="F14" s="2" t="s">
        <v>336</v>
      </c>
      <c r="G14" s="2" t="s">
        <v>929</v>
      </c>
      <c r="H14" s="2" t="s">
        <v>929</v>
      </c>
      <c r="I14" s="2" t="s">
        <v>929</v>
      </c>
      <c r="J14" s="2">
        <v>2</v>
      </c>
      <c r="K14" s="2">
        <v>0</v>
      </c>
      <c r="L14" s="2" t="s">
        <v>1127</v>
      </c>
    </row>
    <row r="15" spans="1:12" ht="87" x14ac:dyDescent="0.35">
      <c r="A15" s="3" t="s">
        <v>1128</v>
      </c>
      <c r="B15" s="3" t="s">
        <v>77</v>
      </c>
      <c r="C15" s="3" t="s">
        <v>127</v>
      </c>
      <c r="D15" s="3" t="s">
        <v>1125</v>
      </c>
      <c r="E15" s="3" t="s">
        <v>929</v>
      </c>
      <c r="F15" s="3" t="s">
        <v>1129</v>
      </c>
      <c r="G15" s="3" t="s">
        <v>929</v>
      </c>
      <c r="H15" s="3" t="s">
        <v>929</v>
      </c>
      <c r="I15" s="3" t="s">
        <v>929</v>
      </c>
      <c r="J15" s="3">
        <v>0</v>
      </c>
      <c r="K15" s="3">
        <v>0</v>
      </c>
      <c r="L15" s="3" t="s">
        <v>1130</v>
      </c>
    </row>
    <row r="16" spans="1:12" ht="29" x14ac:dyDescent="0.35">
      <c r="A16" s="2" t="s">
        <v>343</v>
      </c>
      <c r="B16" s="2" t="s">
        <v>83</v>
      </c>
      <c r="C16" s="2" t="s">
        <v>127</v>
      </c>
      <c r="D16" s="2" t="s">
        <v>1125</v>
      </c>
      <c r="E16" s="2" t="s">
        <v>929</v>
      </c>
      <c r="F16" s="2" t="s">
        <v>929</v>
      </c>
      <c r="G16" s="2" t="s">
        <v>929</v>
      </c>
      <c r="H16" s="2" t="s">
        <v>929</v>
      </c>
      <c r="I16" s="2" t="s">
        <v>929</v>
      </c>
      <c r="J16" s="2">
        <v>6</v>
      </c>
      <c r="K16" s="2">
        <v>34350</v>
      </c>
      <c r="L16" s="2" t="s">
        <v>1131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A32"/>
  <sheetViews>
    <sheetView topLeftCell="A20" workbookViewId="0"/>
  </sheetViews>
  <sheetFormatPr baseColWidth="10" defaultColWidth="8.7265625" defaultRowHeight="14.5" x14ac:dyDescent="0.35"/>
  <cols>
    <col min="1" max="1" width="28" customWidth="1"/>
    <col min="2" max="2" width="14" customWidth="1"/>
    <col min="3" max="3" width="8" customWidth="1"/>
    <col min="4" max="5" width="35" customWidth="1"/>
    <col min="6" max="6" width="30" customWidth="1"/>
    <col min="7" max="8" width="25" customWidth="1"/>
    <col min="9" max="9" width="12" customWidth="1"/>
    <col min="10" max="10" width="18" customWidth="1"/>
    <col min="11" max="13" width="25" customWidth="1"/>
    <col min="14" max="14" width="12" customWidth="1"/>
    <col min="15" max="26" width="6" customWidth="1"/>
    <col min="27" max="27" width="20" customWidth="1"/>
  </cols>
  <sheetData>
    <row r="1" spans="1:27" ht="26" x14ac:dyDescent="0.35">
      <c r="A1" s="1" t="s">
        <v>878</v>
      </c>
      <c r="B1" s="1" t="s">
        <v>1096</v>
      </c>
      <c r="C1" s="1" t="s">
        <v>1132</v>
      </c>
      <c r="D1" s="1" t="s">
        <v>1133</v>
      </c>
      <c r="E1" s="1" t="s">
        <v>1134</v>
      </c>
      <c r="F1" s="1" t="s">
        <v>1135</v>
      </c>
      <c r="G1" s="1" t="s">
        <v>1136</v>
      </c>
      <c r="H1" s="1" t="s">
        <v>1137</v>
      </c>
      <c r="I1" s="1" t="s">
        <v>1138</v>
      </c>
      <c r="J1" s="1" t="s">
        <v>925</v>
      </c>
      <c r="K1" s="1" t="s">
        <v>414</v>
      </c>
      <c r="L1" s="1" t="s">
        <v>1139</v>
      </c>
      <c r="M1" s="1" t="s">
        <v>1140</v>
      </c>
      <c r="N1" s="1" t="s">
        <v>409</v>
      </c>
      <c r="O1" s="1" t="s">
        <v>1141</v>
      </c>
      <c r="P1" s="1" t="s">
        <v>1142</v>
      </c>
      <c r="Q1" s="1" t="s">
        <v>1143</v>
      </c>
      <c r="R1" s="1" t="s">
        <v>1144</v>
      </c>
      <c r="S1" s="1" t="s">
        <v>1145</v>
      </c>
      <c r="T1" s="1" t="s">
        <v>1146</v>
      </c>
      <c r="U1" s="1" t="s">
        <v>1147</v>
      </c>
      <c r="V1" s="1" t="s">
        <v>1148</v>
      </c>
      <c r="W1" s="1" t="s">
        <v>1149</v>
      </c>
      <c r="X1" s="1" t="s">
        <v>1150</v>
      </c>
      <c r="Y1" s="1" t="s">
        <v>1151</v>
      </c>
      <c r="Z1" s="1" t="s">
        <v>1152</v>
      </c>
      <c r="AA1" s="1" t="s">
        <v>1153</v>
      </c>
    </row>
    <row r="2" spans="1:27" ht="116" x14ac:dyDescent="0.35">
      <c r="A2" s="2" t="s">
        <v>126</v>
      </c>
      <c r="B2" s="2" t="s">
        <v>66</v>
      </c>
      <c r="C2" s="2">
        <v>1</v>
      </c>
      <c r="D2" s="2" t="s">
        <v>852</v>
      </c>
      <c r="E2" s="2" t="s">
        <v>1154</v>
      </c>
      <c r="F2" s="2" t="s">
        <v>130</v>
      </c>
      <c r="G2" s="2" t="s">
        <v>929</v>
      </c>
      <c r="H2" s="2" t="s">
        <v>929</v>
      </c>
      <c r="I2" s="2" t="s">
        <v>929</v>
      </c>
      <c r="J2" s="2" t="s">
        <v>929</v>
      </c>
      <c r="K2" s="2" t="s">
        <v>929</v>
      </c>
      <c r="L2" s="2" t="s">
        <v>131</v>
      </c>
      <c r="M2" s="2" t="s">
        <v>132</v>
      </c>
      <c r="N2" s="2" t="s">
        <v>929</v>
      </c>
      <c r="O2" s="2"/>
      <c r="P2" s="2"/>
      <c r="Q2" s="2"/>
      <c r="R2" s="2"/>
      <c r="S2" s="2">
        <v>4</v>
      </c>
      <c r="T2" s="2">
        <v>4</v>
      </c>
      <c r="U2" s="2" t="s">
        <v>1155</v>
      </c>
      <c r="V2" s="2" t="s">
        <v>1155</v>
      </c>
      <c r="W2" s="2" t="s">
        <v>1155</v>
      </c>
      <c r="X2" s="2" t="s">
        <v>1155</v>
      </c>
      <c r="Y2" s="2" t="s">
        <v>1155</v>
      </c>
      <c r="Z2" s="2">
        <v>7</v>
      </c>
      <c r="AA2" s="2" t="s">
        <v>133</v>
      </c>
    </row>
    <row r="3" spans="1:27" ht="116" x14ac:dyDescent="0.35">
      <c r="A3" s="3" t="s">
        <v>126</v>
      </c>
      <c r="B3" s="3" t="s">
        <v>66</v>
      </c>
      <c r="C3" s="3">
        <v>2</v>
      </c>
      <c r="D3" s="3" t="s">
        <v>138</v>
      </c>
      <c r="E3" s="3" t="s">
        <v>1156</v>
      </c>
      <c r="F3" s="3" t="s">
        <v>1157</v>
      </c>
      <c r="G3" s="3" t="s">
        <v>929</v>
      </c>
      <c r="H3" s="3" t="s">
        <v>929</v>
      </c>
      <c r="I3" s="3" t="s">
        <v>929</v>
      </c>
      <c r="J3" s="3" t="s">
        <v>929</v>
      </c>
      <c r="K3" s="3" t="s">
        <v>929</v>
      </c>
      <c r="L3" s="3" t="s">
        <v>141</v>
      </c>
      <c r="M3" s="3" t="s">
        <v>141</v>
      </c>
      <c r="N3" s="3" t="s">
        <v>142</v>
      </c>
      <c r="O3" s="3"/>
      <c r="P3" s="3">
        <v>1</v>
      </c>
      <c r="Q3" s="3" t="s">
        <v>1158</v>
      </c>
      <c r="R3" s="3">
        <v>6</v>
      </c>
      <c r="S3" s="3">
        <v>6</v>
      </c>
      <c r="T3" s="3" t="s">
        <v>1159</v>
      </c>
      <c r="U3" s="3" t="s">
        <v>1160</v>
      </c>
      <c r="V3" s="3">
        <v>6</v>
      </c>
      <c r="W3" s="3">
        <v>6</v>
      </c>
      <c r="X3" s="3">
        <v>6</v>
      </c>
      <c r="Y3" s="3">
        <v>6</v>
      </c>
      <c r="Z3" s="3" t="s">
        <v>1161</v>
      </c>
      <c r="AA3" s="3" t="s">
        <v>143</v>
      </c>
    </row>
    <row r="4" spans="1:27" ht="101.5" x14ac:dyDescent="0.35">
      <c r="A4" s="2" t="s">
        <v>146</v>
      </c>
      <c r="B4" s="2" t="s">
        <v>63</v>
      </c>
      <c r="C4" s="2">
        <v>1</v>
      </c>
      <c r="D4" s="2" t="s">
        <v>147</v>
      </c>
      <c r="E4" s="2" t="s">
        <v>148</v>
      </c>
      <c r="F4" s="2" t="s">
        <v>149</v>
      </c>
      <c r="G4" s="2" t="s">
        <v>929</v>
      </c>
      <c r="H4" s="2" t="s">
        <v>929</v>
      </c>
      <c r="I4" s="2" t="s">
        <v>929</v>
      </c>
      <c r="J4" s="2" t="s">
        <v>929</v>
      </c>
      <c r="K4" s="2" t="s">
        <v>929</v>
      </c>
      <c r="L4" s="2" t="s">
        <v>150</v>
      </c>
      <c r="M4" s="2" t="s">
        <v>151</v>
      </c>
      <c r="N4" s="2" t="s">
        <v>152</v>
      </c>
      <c r="O4" s="2"/>
      <c r="P4" s="2"/>
      <c r="Q4" s="2"/>
      <c r="R4" s="2"/>
      <c r="S4" s="2"/>
      <c r="T4" s="2" t="s">
        <v>1162</v>
      </c>
      <c r="U4" s="2">
        <v>2</v>
      </c>
      <c r="V4" s="2"/>
      <c r="W4" s="2"/>
      <c r="X4" s="2">
        <v>2</v>
      </c>
      <c r="Y4" s="2">
        <v>2</v>
      </c>
      <c r="Z4" s="2">
        <v>3</v>
      </c>
      <c r="AA4" s="2" t="s">
        <v>153</v>
      </c>
    </row>
    <row r="5" spans="1:27" ht="130.5" x14ac:dyDescent="0.35">
      <c r="A5" s="3" t="s">
        <v>146</v>
      </c>
      <c r="B5" s="3" t="s">
        <v>63</v>
      </c>
      <c r="C5" s="3">
        <v>2</v>
      </c>
      <c r="D5" s="3" t="s">
        <v>158</v>
      </c>
      <c r="E5" s="3" t="s">
        <v>159</v>
      </c>
      <c r="F5" s="3" t="s">
        <v>1163</v>
      </c>
      <c r="G5" s="3" t="s">
        <v>929</v>
      </c>
      <c r="H5" s="3" t="s">
        <v>929</v>
      </c>
      <c r="I5" s="3" t="s">
        <v>929</v>
      </c>
      <c r="J5" s="3" t="s">
        <v>929</v>
      </c>
      <c r="K5" s="3" t="s">
        <v>929</v>
      </c>
      <c r="L5" s="3" t="s">
        <v>161</v>
      </c>
      <c r="M5" s="3" t="s">
        <v>162</v>
      </c>
      <c r="N5" s="3" t="s">
        <v>152</v>
      </c>
      <c r="O5" s="3"/>
      <c r="P5" s="3"/>
      <c r="Q5" s="3"/>
      <c r="R5" s="3"/>
      <c r="S5" s="3"/>
      <c r="T5" s="3"/>
      <c r="U5" s="3">
        <v>1</v>
      </c>
      <c r="V5" s="3"/>
      <c r="W5" s="3">
        <v>1</v>
      </c>
      <c r="X5" s="3"/>
      <c r="Y5" s="3">
        <v>1</v>
      </c>
      <c r="Z5" s="3">
        <v>2</v>
      </c>
      <c r="AA5" s="3" t="s">
        <v>163</v>
      </c>
    </row>
    <row r="6" spans="1:27" ht="116" x14ac:dyDescent="0.35">
      <c r="A6" s="2" t="s">
        <v>165</v>
      </c>
      <c r="B6" s="2" t="s">
        <v>60</v>
      </c>
      <c r="C6" s="2">
        <v>1</v>
      </c>
      <c r="D6" s="2" t="s">
        <v>853</v>
      </c>
      <c r="E6" s="2" t="s">
        <v>1164</v>
      </c>
      <c r="F6" s="2" t="s">
        <v>1165</v>
      </c>
      <c r="G6" s="2" t="s">
        <v>929</v>
      </c>
      <c r="H6" s="2" t="s">
        <v>929</v>
      </c>
      <c r="I6" s="2" t="s">
        <v>929</v>
      </c>
      <c r="J6" s="2" t="s">
        <v>929</v>
      </c>
      <c r="K6" s="2" t="s">
        <v>929</v>
      </c>
      <c r="L6" s="2" t="s">
        <v>170</v>
      </c>
      <c r="M6" s="2" t="s">
        <v>171</v>
      </c>
      <c r="N6" s="2" t="s">
        <v>172</v>
      </c>
      <c r="O6" s="2">
        <v>1</v>
      </c>
      <c r="P6" s="2">
        <v>1</v>
      </c>
      <c r="Q6" s="2" t="s">
        <v>1166</v>
      </c>
      <c r="R6" s="2">
        <v>3</v>
      </c>
      <c r="S6" s="2" t="s">
        <v>1167</v>
      </c>
      <c r="T6" s="2" t="s">
        <v>1168</v>
      </c>
      <c r="U6" s="2" t="s">
        <v>1169</v>
      </c>
      <c r="V6" s="2">
        <v>3</v>
      </c>
      <c r="W6" s="2" t="s">
        <v>1166</v>
      </c>
      <c r="X6" s="2">
        <v>3</v>
      </c>
      <c r="Y6" s="2" t="s">
        <v>1167</v>
      </c>
      <c r="Z6" s="2" t="s">
        <v>1168</v>
      </c>
      <c r="AA6" s="2" t="s">
        <v>173</v>
      </c>
    </row>
    <row r="7" spans="1:27" ht="116" x14ac:dyDescent="0.35">
      <c r="A7" s="3" t="s">
        <v>165</v>
      </c>
      <c r="B7" s="3" t="s">
        <v>60</v>
      </c>
      <c r="C7" s="3">
        <v>2</v>
      </c>
      <c r="D7" s="3" t="s">
        <v>178</v>
      </c>
      <c r="E7" s="3" t="s">
        <v>1170</v>
      </c>
      <c r="F7" s="3" t="s">
        <v>1171</v>
      </c>
      <c r="G7" s="3" t="s">
        <v>929</v>
      </c>
      <c r="H7" s="3" t="s">
        <v>929</v>
      </c>
      <c r="I7" s="3" t="s">
        <v>929</v>
      </c>
      <c r="J7" s="3" t="s">
        <v>929</v>
      </c>
      <c r="K7" s="3" t="s">
        <v>929</v>
      </c>
      <c r="L7" s="3" t="s">
        <v>181</v>
      </c>
      <c r="M7" s="3" t="s">
        <v>182</v>
      </c>
      <c r="N7" s="3" t="s">
        <v>929</v>
      </c>
      <c r="O7" s="3"/>
      <c r="P7" s="3"/>
      <c r="Q7" s="3" t="s">
        <v>1167</v>
      </c>
      <c r="R7" s="3"/>
      <c r="S7" s="3"/>
      <c r="T7" s="3" t="s">
        <v>1167</v>
      </c>
      <c r="U7" s="3">
        <v>1</v>
      </c>
      <c r="V7" s="3">
        <v>2</v>
      </c>
      <c r="W7" s="3" t="s">
        <v>1167</v>
      </c>
      <c r="X7" s="3"/>
      <c r="Y7" s="3">
        <v>2</v>
      </c>
      <c r="Z7" s="3" t="s">
        <v>1172</v>
      </c>
      <c r="AA7" s="3" t="s">
        <v>183</v>
      </c>
    </row>
    <row r="8" spans="1:27" ht="101.5" x14ac:dyDescent="0.35">
      <c r="A8" s="2" t="s">
        <v>186</v>
      </c>
      <c r="B8" s="2" t="s">
        <v>87</v>
      </c>
      <c r="C8" s="2">
        <v>1</v>
      </c>
      <c r="D8" s="2" t="s">
        <v>187</v>
      </c>
      <c r="E8" s="2" t="s">
        <v>1173</v>
      </c>
      <c r="F8" s="2" t="s">
        <v>1174</v>
      </c>
      <c r="G8" s="2" t="s">
        <v>929</v>
      </c>
      <c r="H8" s="2" t="s">
        <v>929</v>
      </c>
      <c r="I8" s="2" t="s">
        <v>929</v>
      </c>
      <c r="J8" s="2" t="s">
        <v>929</v>
      </c>
      <c r="K8" s="2" t="s">
        <v>929</v>
      </c>
      <c r="L8" s="2" t="s">
        <v>190</v>
      </c>
      <c r="M8" s="2" t="s">
        <v>191</v>
      </c>
      <c r="N8" s="2" t="s">
        <v>192</v>
      </c>
      <c r="O8" s="2">
        <v>1</v>
      </c>
      <c r="P8" s="2">
        <v>1</v>
      </c>
      <c r="Q8" s="2" t="s">
        <v>1175</v>
      </c>
      <c r="R8" s="2" t="s">
        <v>1167</v>
      </c>
      <c r="S8" s="2" t="s">
        <v>1167</v>
      </c>
      <c r="T8" s="2" t="s">
        <v>1167</v>
      </c>
      <c r="U8" s="2" t="s">
        <v>1167</v>
      </c>
      <c r="V8" s="2" t="s">
        <v>1167</v>
      </c>
      <c r="W8" s="2" t="s">
        <v>1167</v>
      </c>
      <c r="X8" s="2" t="s">
        <v>1167</v>
      </c>
      <c r="Y8" s="2" t="s">
        <v>1167</v>
      </c>
      <c r="Z8" s="2">
        <v>5</v>
      </c>
      <c r="AA8" s="2" t="s">
        <v>173</v>
      </c>
    </row>
    <row r="9" spans="1:27" ht="130.5" x14ac:dyDescent="0.35">
      <c r="A9" s="3" t="s">
        <v>186</v>
      </c>
      <c r="B9" s="3" t="s">
        <v>87</v>
      </c>
      <c r="C9" s="3">
        <v>2</v>
      </c>
      <c r="D9" s="3" t="s">
        <v>196</v>
      </c>
      <c r="E9" s="3" t="s">
        <v>1176</v>
      </c>
      <c r="F9" s="3" t="s">
        <v>1177</v>
      </c>
      <c r="G9" s="3" t="s">
        <v>929</v>
      </c>
      <c r="H9" s="3" t="s">
        <v>929</v>
      </c>
      <c r="I9" s="3" t="s">
        <v>929</v>
      </c>
      <c r="J9" s="3" t="s">
        <v>929</v>
      </c>
      <c r="K9" s="3" t="s">
        <v>929</v>
      </c>
      <c r="L9" s="3" t="s">
        <v>190</v>
      </c>
      <c r="M9" s="3" t="s">
        <v>199</v>
      </c>
      <c r="N9" s="3" t="s">
        <v>200</v>
      </c>
      <c r="O9" s="3">
        <v>1</v>
      </c>
      <c r="P9" s="3">
        <v>1</v>
      </c>
      <c r="Q9" s="3" t="s">
        <v>1178</v>
      </c>
      <c r="R9" s="3" t="s">
        <v>1179</v>
      </c>
      <c r="S9" s="3" t="s">
        <v>1179</v>
      </c>
      <c r="T9" s="3" t="s">
        <v>1179</v>
      </c>
      <c r="U9" s="3" t="s">
        <v>1179</v>
      </c>
      <c r="V9" s="3" t="s">
        <v>1179</v>
      </c>
      <c r="W9" s="3" t="s">
        <v>1179</v>
      </c>
      <c r="X9" s="3" t="s">
        <v>1179</v>
      </c>
      <c r="Y9" s="3" t="s">
        <v>1179</v>
      </c>
      <c r="Z9" s="3">
        <v>7</v>
      </c>
      <c r="AA9" s="3" t="s">
        <v>173</v>
      </c>
    </row>
    <row r="10" spans="1:27" ht="116" x14ac:dyDescent="0.35">
      <c r="A10" s="2" t="s">
        <v>186</v>
      </c>
      <c r="B10" s="2" t="s">
        <v>87</v>
      </c>
      <c r="C10" s="2">
        <v>3</v>
      </c>
      <c r="D10" s="2" t="s">
        <v>854</v>
      </c>
      <c r="E10" s="2" t="s">
        <v>1180</v>
      </c>
      <c r="F10" s="2" t="s">
        <v>1181</v>
      </c>
      <c r="G10" s="2" t="s">
        <v>929</v>
      </c>
      <c r="H10" s="2" t="s">
        <v>929</v>
      </c>
      <c r="I10" s="2" t="s">
        <v>929</v>
      </c>
      <c r="J10" s="2" t="s">
        <v>929</v>
      </c>
      <c r="K10" s="2" t="s">
        <v>929</v>
      </c>
      <c r="L10" s="2" t="s">
        <v>204</v>
      </c>
      <c r="M10" s="2" t="s">
        <v>205</v>
      </c>
      <c r="N10" s="2" t="s">
        <v>206</v>
      </c>
      <c r="O10" s="2"/>
      <c r="P10" s="2"/>
      <c r="Q10" s="2" t="s">
        <v>1182</v>
      </c>
      <c r="R10" s="2">
        <v>4</v>
      </c>
      <c r="S10" s="2" t="s">
        <v>1183</v>
      </c>
      <c r="T10" s="2" t="s">
        <v>1183</v>
      </c>
      <c r="U10" s="2" t="s">
        <v>1184</v>
      </c>
      <c r="V10" s="2" t="s">
        <v>1184</v>
      </c>
      <c r="W10" s="2" t="s">
        <v>1184</v>
      </c>
      <c r="X10" s="2" t="s">
        <v>1184</v>
      </c>
      <c r="Y10" s="2" t="s">
        <v>1184</v>
      </c>
      <c r="Z10" s="2" t="s">
        <v>1185</v>
      </c>
      <c r="AA10" s="2" t="s">
        <v>207</v>
      </c>
    </row>
    <row r="11" spans="1:27" ht="130.5" x14ac:dyDescent="0.35">
      <c r="A11" s="3" t="s">
        <v>186</v>
      </c>
      <c r="B11" s="3" t="s">
        <v>87</v>
      </c>
      <c r="C11" s="3">
        <v>4</v>
      </c>
      <c r="D11" s="3" t="s">
        <v>208</v>
      </c>
      <c r="E11" s="3" t="s">
        <v>209</v>
      </c>
      <c r="F11" s="3" t="s">
        <v>1186</v>
      </c>
      <c r="G11" s="3" t="s">
        <v>929</v>
      </c>
      <c r="H11" s="3" t="s">
        <v>929</v>
      </c>
      <c r="I11" s="3" t="s">
        <v>929</v>
      </c>
      <c r="J11" s="3" t="s">
        <v>929</v>
      </c>
      <c r="K11" s="3" t="s">
        <v>929</v>
      </c>
      <c r="L11" s="3" t="s">
        <v>211</v>
      </c>
      <c r="M11" s="3" t="s">
        <v>212</v>
      </c>
      <c r="N11" s="3" t="s">
        <v>213</v>
      </c>
      <c r="O11" s="3"/>
      <c r="P11" s="3"/>
      <c r="Q11" s="3">
        <v>1</v>
      </c>
      <c r="R11" s="3">
        <v>2</v>
      </c>
      <c r="S11" s="3">
        <v>2</v>
      </c>
      <c r="T11" s="3">
        <v>2</v>
      </c>
      <c r="U11" s="3">
        <v>2</v>
      </c>
      <c r="V11" s="3">
        <v>2</v>
      </c>
      <c r="W11" s="3">
        <v>2</v>
      </c>
      <c r="X11" s="3">
        <v>2</v>
      </c>
      <c r="Y11" s="3">
        <v>2</v>
      </c>
      <c r="Z11" s="3"/>
      <c r="AA11" s="3" t="s">
        <v>214</v>
      </c>
    </row>
    <row r="12" spans="1:27" ht="116" x14ac:dyDescent="0.35">
      <c r="A12" s="2" t="s">
        <v>216</v>
      </c>
      <c r="B12" s="2" t="s">
        <v>68</v>
      </c>
      <c r="C12" s="2">
        <v>1</v>
      </c>
      <c r="D12" s="2" t="s">
        <v>217</v>
      </c>
      <c r="E12" s="2" t="s">
        <v>1187</v>
      </c>
      <c r="F12" s="2" t="s">
        <v>1188</v>
      </c>
      <c r="G12" s="2" t="s">
        <v>929</v>
      </c>
      <c r="H12" s="2" t="s">
        <v>929</v>
      </c>
      <c r="I12" s="2" t="s">
        <v>929</v>
      </c>
      <c r="J12" s="2" t="s">
        <v>929</v>
      </c>
      <c r="K12" s="2" t="s">
        <v>929</v>
      </c>
      <c r="L12" s="2" t="s">
        <v>220</v>
      </c>
      <c r="M12" s="2" t="s">
        <v>221</v>
      </c>
      <c r="N12" s="2" t="s">
        <v>222</v>
      </c>
      <c r="O12" s="2"/>
      <c r="P12" s="2"/>
      <c r="Q12" s="2"/>
      <c r="R12" s="2"/>
      <c r="S12" s="2"/>
      <c r="T12" s="2"/>
      <c r="U12" s="2" t="s">
        <v>1175</v>
      </c>
      <c r="V12" s="2"/>
      <c r="W12" s="2"/>
      <c r="X12" s="2"/>
      <c r="Y12" s="2" t="s">
        <v>1175</v>
      </c>
      <c r="Z12" s="2"/>
      <c r="AA12" s="2" t="s">
        <v>223</v>
      </c>
    </row>
    <row r="13" spans="1:27" ht="116" x14ac:dyDescent="0.35">
      <c r="A13" s="3" t="s">
        <v>216</v>
      </c>
      <c r="B13" s="3" t="s">
        <v>68</v>
      </c>
      <c r="C13" s="3">
        <v>2</v>
      </c>
      <c r="D13" s="3" t="s">
        <v>228</v>
      </c>
      <c r="E13" s="3" t="s">
        <v>1189</v>
      </c>
      <c r="F13" s="3" t="s">
        <v>1190</v>
      </c>
      <c r="G13" s="3" t="s">
        <v>929</v>
      </c>
      <c r="H13" s="3" t="s">
        <v>929</v>
      </c>
      <c r="I13" s="3" t="s">
        <v>929</v>
      </c>
      <c r="J13" s="3" t="s">
        <v>929</v>
      </c>
      <c r="K13" s="3" t="s">
        <v>929</v>
      </c>
      <c r="L13" s="3" t="s">
        <v>220</v>
      </c>
      <c r="M13" s="3" t="s">
        <v>231</v>
      </c>
      <c r="N13" s="3" t="s">
        <v>232</v>
      </c>
      <c r="O13" s="3"/>
      <c r="P13" s="3"/>
      <c r="Q13" s="3"/>
      <c r="R13" s="3"/>
      <c r="S13" s="3"/>
      <c r="T13" s="3"/>
      <c r="U13" s="3">
        <v>1</v>
      </c>
      <c r="V13" s="3"/>
      <c r="W13" s="3"/>
      <c r="X13" s="3"/>
      <c r="Y13" s="3" t="s">
        <v>1175</v>
      </c>
      <c r="Z13" s="3"/>
      <c r="AA13" s="3" t="s">
        <v>223</v>
      </c>
    </row>
    <row r="14" spans="1:27" ht="116" x14ac:dyDescent="0.35">
      <c r="A14" s="2" t="s">
        <v>234</v>
      </c>
      <c r="B14" s="2" t="s">
        <v>73</v>
      </c>
      <c r="C14" s="2">
        <v>1</v>
      </c>
      <c r="D14" s="2" t="s">
        <v>235</v>
      </c>
      <c r="E14" s="2" t="s">
        <v>1191</v>
      </c>
      <c r="F14" s="2" t="s">
        <v>237</v>
      </c>
      <c r="G14" s="2" t="s">
        <v>929</v>
      </c>
      <c r="H14" s="2" t="s">
        <v>929</v>
      </c>
      <c r="I14" s="2" t="s">
        <v>929</v>
      </c>
      <c r="J14" s="2" t="s">
        <v>929</v>
      </c>
      <c r="K14" s="2" t="s">
        <v>929</v>
      </c>
      <c r="L14" s="2" t="s">
        <v>238</v>
      </c>
      <c r="M14" s="2" t="s">
        <v>239</v>
      </c>
      <c r="N14" s="2" t="s">
        <v>240</v>
      </c>
      <c r="O14" s="2"/>
      <c r="P14" s="2"/>
      <c r="Q14" s="2"/>
      <c r="R14" s="2"/>
      <c r="S14" s="2"/>
      <c r="T14" s="2">
        <v>1</v>
      </c>
      <c r="U14" s="2" t="s">
        <v>1175</v>
      </c>
      <c r="V14" s="2" t="s">
        <v>1168</v>
      </c>
      <c r="W14" s="2">
        <v>3</v>
      </c>
      <c r="X14" s="2">
        <v>3</v>
      </c>
      <c r="Y14" s="2"/>
      <c r="Z14" s="2"/>
      <c r="AA14" s="2" t="s">
        <v>241</v>
      </c>
    </row>
    <row r="15" spans="1:27" ht="116" x14ac:dyDescent="0.35">
      <c r="A15" s="3" t="s">
        <v>234</v>
      </c>
      <c r="B15" s="3" t="s">
        <v>73</v>
      </c>
      <c r="C15" s="3">
        <v>1</v>
      </c>
      <c r="D15" s="3" t="s">
        <v>245</v>
      </c>
      <c r="E15" s="3" t="s">
        <v>1192</v>
      </c>
      <c r="F15" s="3" t="s">
        <v>237</v>
      </c>
      <c r="G15" s="3" t="s">
        <v>929</v>
      </c>
      <c r="H15" s="3" t="s">
        <v>929</v>
      </c>
      <c r="I15" s="3" t="s">
        <v>929</v>
      </c>
      <c r="J15" s="3" t="s">
        <v>929</v>
      </c>
      <c r="K15" s="3" t="s">
        <v>929</v>
      </c>
      <c r="L15" s="3" t="s">
        <v>247</v>
      </c>
      <c r="M15" s="3" t="s">
        <v>248</v>
      </c>
      <c r="N15" s="3" t="s">
        <v>249</v>
      </c>
      <c r="O15" s="3"/>
      <c r="P15" s="3"/>
      <c r="Q15" s="3"/>
      <c r="R15" s="3"/>
      <c r="S15" s="3"/>
      <c r="T15" s="3">
        <v>1</v>
      </c>
      <c r="U15" s="3" t="s">
        <v>1175</v>
      </c>
      <c r="V15" s="3" t="s">
        <v>1168</v>
      </c>
      <c r="W15" s="3" t="s">
        <v>1167</v>
      </c>
      <c r="X15" s="3"/>
      <c r="Y15" s="3"/>
      <c r="Z15" s="3"/>
      <c r="AA15" s="3" t="s">
        <v>250</v>
      </c>
    </row>
    <row r="16" spans="1:27" ht="116" x14ac:dyDescent="0.35">
      <c r="A16" s="2" t="s">
        <v>252</v>
      </c>
      <c r="B16" s="2" t="s">
        <v>55</v>
      </c>
      <c r="C16" s="2">
        <v>1</v>
      </c>
      <c r="D16" s="2" t="s">
        <v>253</v>
      </c>
      <c r="E16" s="2" t="s">
        <v>1193</v>
      </c>
      <c r="F16" s="2" t="s">
        <v>1194</v>
      </c>
      <c r="G16" s="2" t="s">
        <v>929</v>
      </c>
      <c r="H16" s="2" t="s">
        <v>929</v>
      </c>
      <c r="I16" s="2" t="s">
        <v>929</v>
      </c>
      <c r="J16" s="2" t="s">
        <v>929</v>
      </c>
      <c r="K16" s="2" t="s">
        <v>929</v>
      </c>
      <c r="L16" s="2" t="s">
        <v>256</v>
      </c>
      <c r="M16" s="2" t="s">
        <v>257</v>
      </c>
      <c r="N16" s="2" t="s">
        <v>929</v>
      </c>
      <c r="O16" s="2"/>
      <c r="P16" s="2"/>
      <c r="Q16" s="2"/>
      <c r="R16" s="2"/>
      <c r="S16" s="2"/>
      <c r="T16" s="2">
        <v>1</v>
      </c>
      <c r="U16" s="2" t="s">
        <v>1182</v>
      </c>
      <c r="V16" s="2" t="s">
        <v>1183</v>
      </c>
      <c r="W16" s="2">
        <v>2</v>
      </c>
      <c r="X16" s="2" t="s">
        <v>1168</v>
      </c>
      <c r="Y16" s="2" t="s">
        <v>1195</v>
      </c>
      <c r="Z16" s="2">
        <v>5</v>
      </c>
      <c r="AA16" s="2" t="s">
        <v>258</v>
      </c>
    </row>
    <row r="17" spans="1:27" ht="116" x14ac:dyDescent="0.35">
      <c r="A17" s="3" t="s">
        <v>252</v>
      </c>
      <c r="B17" s="3" t="s">
        <v>55</v>
      </c>
      <c r="C17" s="3">
        <v>2</v>
      </c>
      <c r="D17" s="3" t="s">
        <v>263</v>
      </c>
      <c r="E17" s="3" t="s">
        <v>1196</v>
      </c>
      <c r="F17" s="3" t="s">
        <v>1197</v>
      </c>
      <c r="G17" s="3" t="s">
        <v>929</v>
      </c>
      <c r="H17" s="3" t="s">
        <v>929</v>
      </c>
      <c r="I17" s="3" t="s">
        <v>929</v>
      </c>
      <c r="J17" s="3" t="s">
        <v>929</v>
      </c>
      <c r="K17" s="3" t="s">
        <v>929</v>
      </c>
      <c r="L17" s="3" t="s">
        <v>266</v>
      </c>
      <c r="M17" s="3" t="s">
        <v>267</v>
      </c>
      <c r="N17" s="3" t="s">
        <v>929</v>
      </c>
      <c r="O17" s="3"/>
      <c r="P17" s="3"/>
      <c r="Q17" s="3"/>
      <c r="R17" s="3"/>
      <c r="S17" s="3"/>
      <c r="T17" s="3" t="s">
        <v>1162</v>
      </c>
      <c r="U17" s="3"/>
      <c r="V17" s="3"/>
      <c r="W17" s="3" t="s">
        <v>1162</v>
      </c>
      <c r="X17" s="3"/>
      <c r="Y17" s="3"/>
      <c r="Z17" s="3" t="s">
        <v>1162</v>
      </c>
      <c r="AA17" s="3" t="s">
        <v>268</v>
      </c>
    </row>
    <row r="18" spans="1:27" ht="116" x14ac:dyDescent="0.35">
      <c r="A18" s="2" t="s">
        <v>270</v>
      </c>
      <c r="B18" s="2" t="s">
        <v>79</v>
      </c>
      <c r="C18" s="2">
        <v>1</v>
      </c>
      <c r="D18" s="2" t="s">
        <v>271</v>
      </c>
      <c r="E18" s="2" t="s">
        <v>1198</v>
      </c>
      <c r="F18" s="2" t="s">
        <v>1199</v>
      </c>
      <c r="G18" s="2" t="s">
        <v>929</v>
      </c>
      <c r="H18" s="2" t="s">
        <v>929</v>
      </c>
      <c r="I18" s="2" t="s">
        <v>929</v>
      </c>
      <c r="J18" s="2" t="s">
        <v>929</v>
      </c>
      <c r="K18" s="2" t="s">
        <v>929</v>
      </c>
      <c r="L18" s="2" t="s">
        <v>274</v>
      </c>
      <c r="M18" s="2" t="s">
        <v>275</v>
      </c>
      <c r="N18" s="2" t="s">
        <v>929</v>
      </c>
      <c r="O18" s="2" t="s">
        <v>1200</v>
      </c>
      <c r="P18" s="2" t="s">
        <v>1200</v>
      </c>
      <c r="Q18" s="2" t="s">
        <v>1200</v>
      </c>
      <c r="R18" s="2" t="s">
        <v>1200</v>
      </c>
      <c r="S18" s="2" t="s">
        <v>1200</v>
      </c>
      <c r="T18" s="2" t="s">
        <v>1200</v>
      </c>
      <c r="U18" s="2" t="s">
        <v>1200</v>
      </c>
      <c r="V18" s="2" t="s">
        <v>1200</v>
      </c>
      <c r="W18" s="2" t="s">
        <v>1200</v>
      </c>
      <c r="X18" s="2" t="s">
        <v>1200</v>
      </c>
      <c r="Y18" s="2" t="s">
        <v>1200</v>
      </c>
      <c r="Z18" s="2" t="s">
        <v>1200</v>
      </c>
      <c r="AA18" s="2" t="s">
        <v>173</v>
      </c>
    </row>
    <row r="19" spans="1:27" ht="116" x14ac:dyDescent="0.35">
      <c r="A19" s="3" t="s">
        <v>270</v>
      </c>
      <c r="B19" s="3" t="s">
        <v>79</v>
      </c>
      <c r="C19" s="3">
        <v>2</v>
      </c>
      <c r="D19" s="3" t="s">
        <v>280</v>
      </c>
      <c r="E19" s="3" t="s">
        <v>1201</v>
      </c>
      <c r="F19" s="3" t="s">
        <v>1202</v>
      </c>
      <c r="G19" s="3" t="s">
        <v>929</v>
      </c>
      <c r="H19" s="3" t="s">
        <v>929</v>
      </c>
      <c r="I19" s="3" t="s">
        <v>929</v>
      </c>
      <c r="J19" s="3" t="s">
        <v>929</v>
      </c>
      <c r="K19" s="3" t="s">
        <v>929</v>
      </c>
      <c r="L19" s="3" t="s">
        <v>283</v>
      </c>
      <c r="M19" s="3" t="s">
        <v>275</v>
      </c>
      <c r="N19" s="3" t="s">
        <v>929</v>
      </c>
      <c r="O19" s="3" t="s">
        <v>1169</v>
      </c>
      <c r="P19" s="3" t="s">
        <v>1169</v>
      </c>
      <c r="Q19" s="3" t="s">
        <v>1169</v>
      </c>
      <c r="R19" s="3" t="s">
        <v>1169</v>
      </c>
      <c r="S19" s="3" t="s">
        <v>1169</v>
      </c>
      <c r="T19" s="3" t="s">
        <v>1169</v>
      </c>
      <c r="U19" s="3" t="s">
        <v>1169</v>
      </c>
      <c r="V19" s="3" t="s">
        <v>1169</v>
      </c>
      <c r="W19" s="3" t="s">
        <v>1169</v>
      </c>
      <c r="X19" s="3" t="s">
        <v>1169</v>
      </c>
      <c r="Y19" s="3" t="s">
        <v>1169</v>
      </c>
      <c r="Z19" s="3" t="s">
        <v>1169</v>
      </c>
      <c r="AA19" s="3" t="s">
        <v>173</v>
      </c>
    </row>
    <row r="20" spans="1:27" ht="130.5" x14ac:dyDescent="0.35">
      <c r="A20" s="2" t="s">
        <v>285</v>
      </c>
      <c r="B20" s="2" t="s">
        <v>75</v>
      </c>
      <c r="C20" s="2">
        <v>1</v>
      </c>
      <c r="D20" s="2" t="s">
        <v>286</v>
      </c>
      <c r="E20" s="2" t="s">
        <v>287</v>
      </c>
      <c r="F20" s="2" t="s">
        <v>1203</v>
      </c>
      <c r="G20" s="2" t="s">
        <v>929</v>
      </c>
      <c r="H20" s="2" t="s">
        <v>929</v>
      </c>
      <c r="I20" s="2" t="s">
        <v>929</v>
      </c>
      <c r="J20" s="2" t="s">
        <v>929</v>
      </c>
      <c r="K20" s="2" t="s">
        <v>929</v>
      </c>
      <c r="L20" s="2" t="s">
        <v>289</v>
      </c>
      <c r="M20" s="2" t="s">
        <v>290</v>
      </c>
      <c r="N20" s="2" t="s">
        <v>172</v>
      </c>
      <c r="O20" s="2"/>
      <c r="P20" s="2"/>
      <c r="Q20" s="2"/>
      <c r="R20" s="2"/>
      <c r="S20" s="2"/>
      <c r="T20" s="2" t="s">
        <v>1175</v>
      </c>
      <c r="U20" s="2"/>
      <c r="V20" s="2" t="s">
        <v>1175</v>
      </c>
      <c r="W20" s="2"/>
      <c r="X20" s="2" t="s">
        <v>1175</v>
      </c>
      <c r="Y20" s="2"/>
      <c r="Z20" s="2" t="s">
        <v>1175</v>
      </c>
      <c r="AA20" s="2" t="s">
        <v>291</v>
      </c>
    </row>
    <row r="21" spans="1:27" ht="116" x14ac:dyDescent="0.35">
      <c r="A21" s="3" t="s">
        <v>285</v>
      </c>
      <c r="B21" s="3" t="s">
        <v>75</v>
      </c>
      <c r="C21" s="3">
        <v>2</v>
      </c>
      <c r="D21" s="3" t="s">
        <v>296</v>
      </c>
      <c r="E21" s="3" t="s">
        <v>1204</v>
      </c>
      <c r="F21" s="3" t="s">
        <v>1205</v>
      </c>
      <c r="G21" s="3" t="s">
        <v>929</v>
      </c>
      <c r="H21" s="3" t="s">
        <v>929</v>
      </c>
      <c r="I21" s="3" t="s">
        <v>929</v>
      </c>
      <c r="J21" s="3" t="s">
        <v>929</v>
      </c>
      <c r="K21" s="3" t="s">
        <v>929</v>
      </c>
      <c r="L21" s="3" t="s">
        <v>299</v>
      </c>
      <c r="M21" s="3" t="s">
        <v>300</v>
      </c>
      <c r="N21" s="3" t="s">
        <v>172</v>
      </c>
      <c r="O21" s="3"/>
      <c r="P21" s="3"/>
      <c r="Q21" s="3"/>
      <c r="R21" s="3"/>
      <c r="S21" s="3"/>
      <c r="T21" s="3">
        <v>1</v>
      </c>
      <c r="U21" s="3">
        <v>1</v>
      </c>
      <c r="V21" s="3">
        <v>3</v>
      </c>
      <c r="W21" s="3">
        <v>3</v>
      </c>
      <c r="X21" s="3">
        <v>3</v>
      </c>
      <c r="Y21" s="3">
        <v>3</v>
      </c>
      <c r="Z21" s="3">
        <v>3</v>
      </c>
      <c r="AA21" s="3" t="s">
        <v>258</v>
      </c>
    </row>
    <row r="22" spans="1:27" ht="130.5" x14ac:dyDescent="0.35">
      <c r="A22" s="2" t="s">
        <v>302</v>
      </c>
      <c r="B22" s="2" t="s">
        <v>81</v>
      </c>
      <c r="C22" s="2">
        <v>2</v>
      </c>
      <c r="D22" s="2" t="s">
        <v>855</v>
      </c>
      <c r="E22" s="2" t="s">
        <v>1206</v>
      </c>
      <c r="F22" s="2" t="s">
        <v>929</v>
      </c>
      <c r="G22" s="2" t="s">
        <v>929</v>
      </c>
      <c r="H22" s="2" t="s">
        <v>929</v>
      </c>
      <c r="I22" s="2" t="s">
        <v>929</v>
      </c>
      <c r="J22" s="2" t="s">
        <v>929</v>
      </c>
      <c r="K22" s="2" t="s">
        <v>929</v>
      </c>
      <c r="L22" s="2" t="s">
        <v>306</v>
      </c>
      <c r="M22" s="2" t="s">
        <v>307</v>
      </c>
      <c r="N22" s="2" t="s">
        <v>308</v>
      </c>
      <c r="O22" s="2"/>
      <c r="P22" s="2" t="s">
        <v>1175</v>
      </c>
      <c r="Q22" s="2"/>
      <c r="R22" s="2"/>
      <c r="S22" s="2"/>
      <c r="T22" s="2" t="s">
        <v>1207</v>
      </c>
      <c r="U22" s="2" t="s">
        <v>1208</v>
      </c>
      <c r="V22" s="2" t="s">
        <v>1209</v>
      </c>
      <c r="W22" s="2" t="s">
        <v>1210</v>
      </c>
      <c r="X22" s="2" t="s">
        <v>1211</v>
      </c>
      <c r="Y22" s="2" t="s">
        <v>1212</v>
      </c>
      <c r="Z22" s="2">
        <v>8</v>
      </c>
      <c r="AA22" s="2" t="s">
        <v>309</v>
      </c>
    </row>
    <row r="23" spans="1:27" ht="87" x14ac:dyDescent="0.35">
      <c r="A23" s="3" t="s">
        <v>302</v>
      </c>
      <c r="B23" s="3" t="s">
        <v>81</v>
      </c>
      <c r="C23" s="3">
        <v>2</v>
      </c>
      <c r="D23" s="3" t="s">
        <v>312</v>
      </c>
      <c r="E23" s="3" t="s">
        <v>313</v>
      </c>
      <c r="F23" s="3" t="s">
        <v>929</v>
      </c>
      <c r="G23" s="3" t="s">
        <v>929</v>
      </c>
      <c r="H23" s="3" t="s">
        <v>929</v>
      </c>
      <c r="I23" s="3" t="s">
        <v>929</v>
      </c>
      <c r="J23" s="3" t="s">
        <v>929</v>
      </c>
      <c r="K23" s="3" t="s">
        <v>929</v>
      </c>
      <c r="L23" s="3" t="s">
        <v>314</v>
      </c>
      <c r="M23" s="3" t="s">
        <v>315</v>
      </c>
      <c r="N23" s="3" t="s">
        <v>316</v>
      </c>
      <c r="O23" s="3"/>
      <c r="P23" s="3"/>
      <c r="Q23" s="3"/>
      <c r="R23" s="3"/>
      <c r="S23" s="3"/>
      <c r="T23" s="3" t="s">
        <v>1175</v>
      </c>
      <c r="U23" s="3" t="s">
        <v>1175</v>
      </c>
      <c r="V23" s="3">
        <v>3</v>
      </c>
      <c r="W23" s="3">
        <v>4</v>
      </c>
      <c r="X23" s="3"/>
      <c r="Y23" s="3"/>
      <c r="Z23" s="3"/>
      <c r="AA23" s="3" t="s">
        <v>250</v>
      </c>
    </row>
    <row r="24" spans="1:27" ht="159.5" x14ac:dyDescent="0.35">
      <c r="A24" s="2" t="s">
        <v>318</v>
      </c>
      <c r="B24" s="2" t="s">
        <v>77</v>
      </c>
      <c r="C24" s="2">
        <v>1</v>
      </c>
      <c r="D24" s="2" t="s">
        <v>319</v>
      </c>
      <c r="E24" s="2" t="s">
        <v>1213</v>
      </c>
      <c r="F24" s="2" t="s">
        <v>1214</v>
      </c>
      <c r="G24" s="2" t="s">
        <v>929</v>
      </c>
      <c r="H24" s="2" t="s">
        <v>929</v>
      </c>
      <c r="I24" s="2" t="s">
        <v>929</v>
      </c>
      <c r="J24" s="2" t="s">
        <v>929</v>
      </c>
      <c r="K24" s="2" t="s">
        <v>929</v>
      </c>
      <c r="L24" s="2" t="s">
        <v>322</v>
      </c>
      <c r="M24" s="2" t="s">
        <v>323</v>
      </c>
      <c r="N24" s="2" t="s">
        <v>929</v>
      </c>
      <c r="O24" s="2"/>
      <c r="P24" s="2"/>
      <c r="Q24" s="2"/>
      <c r="R24" s="2"/>
      <c r="S24" s="2"/>
      <c r="T24" s="2" t="s">
        <v>1215</v>
      </c>
      <c r="U24" s="2" t="s">
        <v>1216</v>
      </c>
      <c r="V24" s="2" t="s">
        <v>1217</v>
      </c>
      <c r="W24" s="2" t="s">
        <v>1218</v>
      </c>
      <c r="X24" s="2" t="s">
        <v>1219</v>
      </c>
      <c r="Y24" s="2">
        <v>13</v>
      </c>
      <c r="Z24" s="2"/>
      <c r="AA24" s="2" t="s">
        <v>324</v>
      </c>
    </row>
    <row r="25" spans="1:27" ht="116" x14ac:dyDescent="0.35">
      <c r="A25" s="3" t="s">
        <v>329</v>
      </c>
      <c r="B25" s="3" t="s">
        <v>77</v>
      </c>
      <c r="C25" s="3">
        <v>1</v>
      </c>
      <c r="D25" s="3" t="s">
        <v>330</v>
      </c>
      <c r="E25" s="3" t="s">
        <v>1220</v>
      </c>
      <c r="F25" s="3" t="s">
        <v>1221</v>
      </c>
      <c r="G25" s="3" t="s">
        <v>929</v>
      </c>
      <c r="H25" s="3" t="s">
        <v>929</v>
      </c>
      <c r="I25" s="3" t="s">
        <v>929</v>
      </c>
      <c r="J25" s="3" t="s">
        <v>929</v>
      </c>
      <c r="K25" s="3" t="s">
        <v>929</v>
      </c>
      <c r="L25" s="3" t="s">
        <v>333</v>
      </c>
      <c r="M25" s="3" t="s">
        <v>334</v>
      </c>
      <c r="N25" s="3" t="s">
        <v>929</v>
      </c>
      <c r="O25" s="3"/>
      <c r="P25" s="3">
        <v>1</v>
      </c>
      <c r="Q25" s="3">
        <v>1</v>
      </c>
      <c r="R25" s="3" t="s">
        <v>1182</v>
      </c>
      <c r="S25" s="3" t="s">
        <v>1182</v>
      </c>
      <c r="T25" s="3" t="s">
        <v>1222</v>
      </c>
      <c r="U25" s="3" t="s">
        <v>1223</v>
      </c>
      <c r="V25" s="3" t="s">
        <v>1178</v>
      </c>
      <c r="W25" s="3" t="s">
        <v>1178</v>
      </c>
      <c r="X25" s="3" t="s">
        <v>1178</v>
      </c>
      <c r="Y25" s="3" t="s">
        <v>1178</v>
      </c>
      <c r="Z25" s="3" t="s">
        <v>1178</v>
      </c>
      <c r="AA25" s="3" t="s">
        <v>143</v>
      </c>
    </row>
    <row r="26" spans="1:27" ht="145" x14ac:dyDescent="0.35">
      <c r="A26" s="2" t="s">
        <v>329</v>
      </c>
      <c r="B26" s="2" t="s">
        <v>77</v>
      </c>
      <c r="C26" s="2">
        <v>2</v>
      </c>
      <c r="D26" s="2" t="s">
        <v>337</v>
      </c>
      <c r="E26" s="2" t="s">
        <v>1224</v>
      </c>
      <c r="F26" s="2" t="s">
        <v>1225</v>
      </c>
      <c r="G26" s="2" t="s">
        <v>929</v>
      </c>
      <c r="H26" s="2" t="s">
        <v>929</v>
      </c>
      <c r="I26" s="2" t="s">
        <v>929</v>
      </c>
      <c r="J26" s="2" t="s">
        <v>929</v>
      </c>
      <c r="K26" s="2" t="s">
        <v>929</v>
      </c>
      <c r="L26" s="2" t="s">
        <v>340</v>
      </c>
      <c r="M26" s="2" t="s">
        <v>341</v>
      </c>
      <c r="N26" s="2" t="s">
        <v>929</v>
      </c>
      <c r="O26" s="2"/>
      <c r="P26" s="2"/>
      <c r="Q26" s="2"/>
      <c r="R26" s="2"/>
      <c r="S26" s="2"/>
      <c r="T26" s="2">
        <v>1</v>
      </c>
      <c r="U26" s="2" t="s">
        <v>1175</v>
      </c>
      <c r="V26" s="2" t="s">
        <v>1166</v>
      </c>
      <c r="W26" s="2" t="s">
        <v>1168</v>
      </c>
      <c r="X26" s="2" t="s">
        <v>1226</v>
      </c>
      <c r="Y26" s="2" t="s">
        <v>1161</v>
      </c>
      <c r="Z26" s="2"/>
      <c r="AA26" s="2" t="s">
        <v>324</v>
      </c>
    </row>
    <row r="27" spans="1:27" ht="101.5" x14ac:dyDescent="0.35">
      <c r="A27" s="3" t="s">
        <v>343</v>
      </c>
      <c r="B27" s="3" t="s">
        <v>83</v>
      </c>
      <c r="C27" s="3">
        <v>1</v>
      </c>
      <c r="D27" s="3" t="s">
        <v>856</v>
      </c>
      <c r="E27" s="3" t="s">
        <v>1227</v>
      </c>
      <c r="F27" s="3" t="s">
        <v>1228</v>
      </c>
      <c r="G27" s="3" t="s">
        <v>929</v>
      </c>
      <c r="H27" s="3" t="s">
        <v>929</v>
      </c>
      <c r="I27" s="3" t="s">
        <v>929</v>
      </c>
      <c r="J27" s="3" t="s">
        <v>929</v>
      </c>
      <c r="K27" s="3" t="s">
        <v>929</v>
      </c>
      <c r="L27" s="3" t="s">
        <v>347</v>
      </c>
      <c r="M27" s="3" t="s">
        <v>348</v>
      </c>
      <c r="N27" s="3" t="s">
        <v>349</v>
      </c>
      <c r="O27" s="3"/>
      <c r="P27" s="3"/>
      <c r="Q27" s="3"/>
      <c r="R27" s="3"/>
      <c r="S27" s="3"/>
      <c r="T27" s="3">
        <v>1</v>
      </c>
      <c r="U27" s="3"/>
      <c r="V27" s="3"/>
      <c r="W27" s="3"/>
      <c r="X27" s="3"/>
      <c r="Y27" s="3">
        <v>1</v>
      </c>
      <c r="Z27" s="3"/>
      <c r="AA27" s="3" t="s">
        <v>350</v>
      </c>
    </row>
    <row r="28" spans="1:27" ht="130.5" x14ac:dyDescent="0.35">
      <c r="A28" s="2" t="s">
        <v>343</v>
      </c>
      <c r="B28" s="2" t="s">
        <v>83</v>
      </c>
      <c r="C28" s="2">
        <v>2</v>
      </c>
      <c r="D28" s="2" t="s">
        <v>353</v>
      </c>
      <c r="E28" s="2" t="s">
        <v>1229</v>
      </c>
      <c r="F28" s="2" t="s">
        <v>1230</v>
      </c>
      <c r="G28" s="2" t="s">
        <v>929</v>
      </c>
      <c r="H28" s="2" t="s">
        <v>929</v>
      </c>
      <c r="I28" s="2" t="s">
        <v>929</v>
      </c>
      <c r="J28" s="2" t="s">
        <v>929</v>
      </c>
      <c r="K28" s="2" t="s">
        <v>929</v>
      </c>
      <c r="L28" s="2" t="s">
        <v>356</v>
      </c>
      <c r="M28" s="2" t="s">
        <v>357</v>
      </c>
      <c r="N28" s="2" t="s">
        <v>152</v>
      </c>
      <c r="O28" s="2"/>
      <c r="P28" s="2"/>
      <c r="Q28" s="2"/>
      <c r="R28" s="2"/>
      <c r="S28" s="2"/>
      <c r="T28" s="2"/>
      <c r="U28" s="2"/>
      <c r="V28" s="2">
        <v>1</v>
      </c>
      <c r="W28" s="2" t="s">
        <v>1175</v>
      </c>
      <c r="X28" s="2">
        <v>2</v>
      </c>
      <c r="Y28" s="2" t="s">
        <v>1167</v>
      </c>
      <c r="Z28" s="2" t="s">
        <v>1167</v>
      </c>
      <c r="AA28" s="2" t="s">
        <v>358</v>
      </c>
    </row>
    <row r="29" spans="1:27" ht="116" x14ac:dyDescent="0.35">
      <c r="A29" s="3" t="s">
        <v>343</v>
      </c>
      <c r="B29" s="3" t="s">
        <v>83</v>
      </c>
      <c r="C29" s="3">
        <v>3</v>
      </c>
      <c r="D29" s="3" t="s">
        <v>359</v>
      </c>
      <c r="E29" s="3" t="s">
        <v>1231</v>
      </c>
      <c r="F29" s="3" t="s">
        <v>1232</v>
      </c>
      <c r="G29" s="3" t="s">
        <v>929</v>
      </c>
      <c r="H29" s="3" t="s">
        <v>929</v>
      </c>
      <c r="I29" s="3" t="s">
        <v>929</v>
      </c>
      <c r="J29" s="3" t="s">
        <v>929</v>
      </c>
      <c r="K29" s="3" t="s">
        <v>929</v>
      </c>
      <c r="L29" s="3" t="s">
        <v>362</v>
      </c>
      <c r="M29" s="3" t="s">
        <v>363</v>
      </c>
      <c r="N29" s="3" t="s">
        <v>364</v>
      </c>
      <c r="O29" s="3"/>
      <c r="P29" s="3"/>
      <c r="Q29" s="3"/>
      <c r="R29" s="3"/>
      <c r="S29" s="3"/>
      <c r="T29" s="3"/>
      <c r="U29" s="3">
        <v>1</v>
      </c>
      <c r="V29" s="3"/>
      <c r="W29" s="3"/>
      <c r="X29" s="3">
        <v>1</v>
      </c>
      <c r="Y29" s="3">
        <v>5</v>
      </c>
      <c r="Z29" s="3"/>
      <c r="AA29" s="3" t="s">
        <v>365</v>
      </c>
    </row>
    <row r="30" spans="1:27" ht="130.5" x14ac:dyDescent="0.35">
      <c r="A30" s="2" t="s">
        <v>343</v>
      </c>
      <c r="B30" s="2" t="s">
        <v>83</v>
      </c>
      <c r="C30" s="2">
        <v>4</v>
      </c>
      <c r="D30" s="2" t="s">
        <v>366</v>
      </c>
      <c r="E30" s="2" t="s">
        <v>367</v>
      </c>
      <c r="F30" s="2" t="s">
        <v>1233</v>
      </c>
      <c r="G30" s="2" t="s">
        <v>929</v>
      </c>
      <c r="H30" s="2" t="s">
        <v>929</v>
      </c>
      <c r="I30" s="2" t="s">
        <v>929</v>
      </c>
      <c r="J30" s="2" t="s">
        <v>929</v>
      </c>
      <c r="K30" s="2" t="s">
        <v>929</v>
      </c>
      <c r="L30" s="2" t="s">
        <v>369</v>
      </c>
      <c r="M30" s="2" t="s">
        <v>370</v>
      </c>
      <c r="N30" s="2" t="s">
        <v>371</v>
      </c>
      <c r="O30" s="2"/>
      <c r="P30" s="2"/>
      <c r="Q30" s="2"/>
      <c r="R30" s="2"/>
      <c r="S30" s="2"/>
      <c r="T30" s="2">
        <v>1</v>
      </c>
      <c r="U30" s="2">
        <v>2</v>
      </c>
      <c r="V30" s="2">
        <v>3</v>
      </c>
      <c r="W30" s="2">
        <v>1</v>
      </c>
      <c r="X30" s="2">
        <v>2</v>
      </c>
      <c r="Y30" s="2">
        <v>3</v>
      </c>
      <c r="Z30" s="2"/>
      <c r="AA30" s="2" t="s">
        <v>324</v>
      </c>
    </row>
    <row r="31" spans="1:27" ht="130.5" x14ac:dyDescent="0.35">
      <c r="A31" s="3" t="s">
        <v>343</v>
      </c>
      <c r="B31" s="3" t="s">
        <v>83</v>
      </c>
      <c r="C31" s="3">
        <v>5</v>
      </c>
      <c r="D31" s="3" t="s">
        <v>372</v>
      </c>
      <c r="E31" s="3" t="s">
        <v>1234</v>
      </c>
      <c r="F31" s="3" t="s">
        <v>1235</v>
      </c>
      <c r="G31" s="3" t="s">
        <v>929</v>
      </c>
      <c r="H31" s="3" t="s">
        <v>929</v>
      </c>
      <c r="I31" s="3" t="s">
        <v>929</v>
      </c>
      <c r="J31" s="3" t="s">
        <v>929</v>
      </c>
      <c r="K31" s="3" t="s">
        <v>929</v>
      </c>
      <c r="L31" s="3" t="s">
        <v>375</v>
      </c>
      <c r="M31" s="3" t="s">
        <v>376</v>
      </c>
      <c r="N31" s="3" t="s">
        <v>377</v>
      </c>
      <c r="O31" s="3"/>
      <c r="P31" s="3" t="s">
        <v>1222</v>
      </c>
      <c r="Q31" s="3" t="s">
        <v>1168</v>
      </c>
      <c r="R31" s="3" t="s">
        <v>1168</v>
      </c>
      <c r="S31" s="3" t="s">
        <v>1168</v>
      </c>
      <c r="T31" s="3" t="s">
        <v>1168</v>
      </c>
      <c r="U31" s="3" t="s">
        <v>1168</v>
      </c>
      <c r="V31" s="3" t="s">
        <v>1168</v>
      </c>
      <c r="W31" s="3" t="s">
        <v>1168</v>
      </c>
      <c r="X31" s="3" t="s">
        <v>1168</v>
      </c>
      <c r="Y31" s="3" t="s">
        <v>1166</v>
      </c>
      <c r="Z31" s="3"/>
      <c r="AA31" s="3" t="s">
        <v>378</v>
      </c>
    </row>
    <row r="32" spans="1:27" ht="116" x14ac:dyDescent="0.35">
      <c r="A32" s="2" t="s">
        <v>343</v>
      </c>
      <c r="B32" s="2" t="s">
        <v>83</v>
      </c>
      <c r="C32" s="2">
        <v>6</v>
      </c>
      <c r="D32" s="2" t="s">
        <v>379</v>
      </c>
      <c r="E32" s="2" t="s">
        <v>380</v>
      </c>
      <c r="F32" s="2" t="s">
        <v>1236</v>
      </c>
      <c r="G32" s="2" t="s">
        <v>929</v>
      </c>
      <c r="H32" s="2" t="s">
        <v>929</v>
      </c>
      <c r="I32" s="2" t="s">
        <v>929</v>
      </c>
      <c r="J32" s="2" t="s">
        <v>929</v>
      </c>
      <c r="K32" s="2" t="s">
        <v>929</v>
      </c>
      <c r="L32" s="2" t="s">
        <v>382</v>
      </c>
      <c r="M32" s="2" t="s">
        <v>383</v>
      </c>
      <c r="N32" s="2" t="s">
        <v>384</v>
      </c>
      <c r="O32" s="2" t="s">
        <v>1175</v>
      </c>
      <c r="P32" s="2" t="s">
        <v>1175</v>
      </c>
      <c r="Q32" s="2" t="s">
        <v>1175</v>
      </c>
      <c r="R32" s="2" t="s">
        <v>1175</v>
      </c>
      <c r="S32" s="2" t="s">
        <v>1175</v>
      </c>
      <c r="T32" s="2" t="s">
        <v>1175</v>
      </c>
      <c r="U32" s="2" t="s">
        <v>1175</v>
      </c>
      <c r="V32" s="2" t="s">
        <v>1175</v>
      </c>
      <c r="W32" s="2" t="s">
        <v>1175</v>
      </c>
      <c r="X32" s="2" t="s">
        <v>1175</v>
      </c>
      <c r="Y32" s="2" t="s">
        <v>1222</v>
      </c>
      <c r="Z32" s="2">
        <v>3</v>
      </c>
      <c r="AA32" s="2" t="s">
        <v>173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30"/>
  <sheetViews>
    <sheetView topLeftCell="A3" workbookViewId="0"/>
  </sheetViews>
  <sheetFormatPr baseColWidth="10" defaultColWidth="8.7265625" defaultRowHeight="14.5" x14ac:dyDescent="0.35"/>
  <cols>
    <col min="1" max="1" width="28" customWidth="1"/>
    <col min="2" max="2" width="14" customWidth="1"/>
    <col min="3" max="3" width="10" customWidth="1"/>
    <col min="4" max="4" width="35" customWidth="1"/>
    <col min="5" max="6" width="28" customWidth="1"/>
    <col min="7" max="7" width="12" customWidth="1"/>
    <col min="8" max="8" width="20" customWidth="1"/>
    <col min="9" max="9" width="28" customWidth="1"/>
    <col min="10" max="10" width="40" customWidth="1"/>
  </cols>
  <sheetData>
    <row r="1" spans="1:10" x14ac:dyDescent="0.35">
      <c r="A1" s="1" t="s">
        <v>878</v>
      </c>
      <c r="B1" s="1" t="s">
        <v>1096</v>
      </c>
      <c r="C1" s="1" t="s">
        <v>857</v>
      </c>
      <c r="D1" s="1" t="s">
        <v>1135</v>
      </c>
      <c r="E1" s="1" t="s">
        <v>1237</v>
      </c>
      <c r="F1" s="1" t="s">
        <v>1238</v>
      </c>
      <c r="G1" s="1" t="s">
        <v>1138</v>
      </c>
      <c r="H1" s="1" t="s">
        <v>925</v>
      </c>
      <c r="I1" s="1" t="s">
        <v>414</v>
      </c>
      <c r="J1" s="1" t="s">
        <v>1239</v>
      </c>
    </row>
    <row r="2" spans="1:10" ht="203" x14ac:dyDescent="0.35">
      <c r="A2" s="2" t="s">
        <v>126</v>
      </c>
      <c r="B2" s="2" t="s">
        <v>66</v>
      </c>
      <c r="C2" s="2" t="s">
        <v>395</v>
      </c>
      <c r="D2" s="2" t="s">
        <v>140</v>
      </c>
      <c r="E2" s="2" t="s">
        <v>929</v>
      </c>
      <c r="F2" s="2" t="s">
        <v>929</v>
      </c>
      <c r="G2" s="2" t="s">
        <v>929</v>
      </c>
      <c r="H2" s="2" t="s">
        <v>929</v>
      </c>
      <c r="I2" s="2" t="s">
        <v>929</v>
      </c>
      <c r="J2" s="2" t="s">
        <v>1240</v>
      </c>
    </row>
    <row r="3" spans="1:10" ht="145" x14ac:dyDescent="0.35">
      <c r="A3" s="3" t="s">
        <v>126</v>
      </c>
      <c r="B3" s="3" t="s">
        <v>66</v>
      </c>
      <c r="C3" s="3" t="s">
        <v>416</v>
      </c>
      <c r="D3" s="3" t="s">
        <v>130</v>
      </c>
      <c r="E3" s="3" t="s">
        <v>929</v>
      </c>
      <c r="F3" s="3" t="s">
        <v>929</v>
      </c>
      <c r="G3" s="3" t="s">
        <v>929</v>
      </c>
      <c r="H3" s="3" t="s">
        <v>929</v>
      </c>
      <c r="I3" s="3" t="s">
        <v>929</v>
      </c>
      <c r="J3" s="3" t="s">
        <v>1241</v>
      </c>
    </row>
    <row r="4" spans="1:10" ht="72.5" x14ac:dyDescent="0.35">
      <c r="A4" s="2" t="s">
        <v>146</v>
      </c>
      <c r="B4" s="2" t="s">
        <v>63</v>
      </c>
      <c r="C4" s="2" t="s">
        <v>416</v>
      </c>
      <c r="D4" s="2" t="s">
        <v>149</v>
      </c>
      <c r="E4" s="2" t="s">
        <v>929</v>
      </c>
      <c r="F4" s="2" t="s">
        <v>929</v>
      </c>
      <c r="G4" s="2" t="s">
        <v>929</v>
      </c>
      <c r="H4" s="2" t="s">
        <v>929</v>
      </c>
      <c r="I4" s="2" t="s">
        <v>929</v>
      </c>
      <c r="J4" s="2" t="s">
        <v>149</v>
      </c>
    </row>
    <row r="5" spans="1:10" ht="203" x14ac:dyDescent="0.35">
      <c r="A5" s="3" t="s">
        <v>146</v>
      </c>
      <c r="B5" s="3" t="s">
        <v>63</v>
      </c>
      <c r="C5" s="3" t="s">
        <v>395</v>
      </c>
      <c r="D5" s="3" t="s">
        <v>160</v>
      </c>
      <c r="E5" s="3" t="s">
        <v>929</v>
      </c>
      <c r="F5" s="3" t="s">
        <v>929</v>
      </c>
      <c r="G5" s="3" t="s">
        <v>929</v>
      </c>
      <c r="H5" s="3" t="s">
        <v>929</v>
      </c>
      <c r="I5" s="3" t="s">
        <v>929</v>
      </c>
      <c r="J5" s="3" t="s">
        <v>1242</v>
      </c>
    </row>
    <row r="6" spans="1:10" ht="188.5" x14ac:dyDescent="0.35">
      <c r="A6" s="2" t="s">
        <v>165</v>
      </c>
      <c r="B6" s="2" t="s">
        <v>60</v>
      </c>
      <c r="C6" s="2" t="s">
        <v>416</v>
      </c>
      <c r="D6" s="2" t="s">
        <v>169</v>
      </c>
      <c r="E6" s="2" t="s">
        <v>929</v>
      </c>
      <c r="F6" s="2" t="s">
        <v>929</v>
      </c>
      <c r="G6" s="2" t="s">
        <v>929</v>
      </c>
      <c r="H6" s="2" t="s">
        <v>929</v>
      </c>
      <c r="I6" s="2" t="s">
        <v>929</v>
      </c>
      <c r="J6" s="2" t="s">
        <v>1243</v>
      </c>
    </row>
    <row r="7" spans="1:10" ht="203" x14ac:dyDescent="0.35">
      <c r="A7" s="3" t="s">
        <v>165</v>
      </c>
      <c r="B7" s="3" t="s">
        <v>60</v>
      </c>
      <c r="C7" s="3" t="s">
        <v>395</v>
      </c>
      <c r="D7" s="3" t="s">
        <v>180</v>
      </c>
      <c r="E7" s="3" t="s">
        <v>929</v>
      </c>
      <c r="F7" s="3" t="s">
        <v>929</v>
      </c>
      <c r="G7" s="3" t="s">
        <v>929</v>
      </c>
      <c r="H7" s="3" t="s">
        <v>929</v>
      </c>
      <c r="I7" s="3" t="s">
        <v>929</v>
      </c>
      <c r="J7" s="3" t="s">
        <v>1244</v>
      </c>
    </row>
    <row r="8" spans="1:10" ht="217.5" x14ac:dyDescent="0.35">
      <c r="A8" s="2" t="s">
        <v>186</v>
      </c>
      <c r="B8" s="2" t="s">
        <v>87</v>
      </c>
      <c r="C8" s="2" t="s">
        <v>469</v>
      </c>
      <c r="D8" s="2" t="s">
        <v>189</v>
      </c>
      <c r="E8" s="2" t="s">
        <v>929</v>
      </c>
      <c r="F8" s="2" t="s">
        <v>929</v>
      </c>
      <c r="G8" s="2" t="s">
        <v>929</v>
      </c>
      <c r="H8" s="2" t="s">
        <v>929</v>
      </c>
      <c r="I8" s="2" t="s">
        <v>929</v>
      </c>
      <c r="J8" s="2" t="s">
        <v>1245</v>
      </c>
    </row>
    <row r="9" spans="1:10" ht="217.5" x14ac:dyDescent="0.35">
      <c r="A9" s="3" t="s">
        <v>186</v>
      </c>
      <c r="B9" s="3" t="s">
        <v>87</v>
      </c>
      <c r="C9" s="3" t="s">
        <v>484</v>
      </c>
      <c r="D9" s="3" t="s">
        <v>198</v>
      </c>
      <c r="E9" s="3" t="s">
        <v>929</v>
      </c>
      <c r="F9" s="3" t="s">
        <v>929</v>
      </c>
      <c r="G9" s="3" t="s">
        <v>929</v>
      </c>
      <c r="H9" s="3" t="s">
        <v>929</v>
      </c>
      <c r="I9" s="3" t="s">
        <v>929</v>
      </c>
      <c r="J9" s="3" t="s">
        <v>1246</v>
      </c>
    </row>
    <row r="10" spans="1:10" ht="232" x14ac:dyDescent="0.35">
      <c r="A10" s="2" t="s">
        <v>186</v>
      </c>
      <c r="B10" s="2" t="s">
        <v>87</v>
      </c>
      <c r="C10" s="2" t="s">
        <v>494</v>
      </c>
      <c r="D10" s="2" t="s">
        <v>203</v>
      </c>
      <c r="E10" s="2" t="s">
        <v>929</v>
      </c>
      <c r="F10" s="2" t="s">
        <v>929</v>
      </c>
      <c r="G10" s="2" t="s">
        <v>929</v>
      </c>
      <c r="H10" s="2" t="s">
        <v>929</v>
      </c>
      <c r="I10" s="2" t="s">
        <v>929</v>
      </c>
      <c r="J10" s="2" t="s">
        <v>1247</v>
      </c>
    </row>
    <row r="11" spans="1:10" ht="116" x14ac:dyDescent="0.35">
      <c r="A11" s="3" t="s">
        <v>186</v>
      </c>
      <c r="B11" s="3" t="s">
        <v>87</v>
      </c>
      <c r="C11" s="3" t="s">
        <v>508</v>
      </c>
      <c r="D11" s="3" t="s">
        <v>210</v>
      </c>
      <c r="E11" s="3" t="s">
        <v>929</v>
      </c>
      <c r="F11" s="3" t="s">
        <v>929</v>
      </c>
      <c r="G11" s="3" t="s">
        <v>929</v>
      </c>
      <c r="H11" s="3" t="s">
        <v>929</v>
      </c>
      <c r="I11" s="3" t="s">
        <v>929</v>
      </c>
      <c r="J11" s="3" t="s">
        <v>210</v>
      </c>
    </row>
    <row r="12" spans="1:10" ht="130.5" x14ac:dyDescent="0.35">
      <c r="A12" s="2" t="s">
        <v>216</v>
      </c>
      <c r="B12" s="2" t="s">
        <v>68</v>
      </c>
      <c r="C12" s="2" t="s">
        <v>416</v>
      </c>
      <c r="D12" s="2" t="s">
        <v>219</v>
      </c>
      <c r="E12" s="2" t="s">
        <v>929</v>
      </c>
      <c r="F12" s="2" t="s">
        <v>929</v>
      </c>
      <c r="G12" s="2" t="s">
        <v>929</v>
      </c>
      <c r="H12" s="2" t="s">
        <v>929</v>
      </c>
      <c r="I12" s="2" t="s">
        <v>929</v>
      </c>
      <c r="J12" s="2" t="s">
        <v>219</v>
      </c>
    </row>
    <row r="13" spans="1:10" ht="116" x14ac:dyDescent="0.35">
      <c r="A13" s="3" t="s">
        <v>216</v>
      </c>
      <c r="B13" s="3" t="s">
        <v>68</v>
      </c>
      <c r="C13" s="3" t="s">
        <v>395</v>
      </c>
      <c r="D13" s="3" t="s">
        <v>230</v>
      </c>
      <c r="E13" s="3" t="s">
        <v>929</v>
      </c>
      <c r="F13" s="3" t="s">
        <v>929</v>
      </c>
      <c r="G13" s="3" t="s">
        <v>929</v>
      </c>
      <c r="H13" s="3" t="s">
        <v>929</v>
      </c>
      <c r="I13" s="3" t="s">
        <v>929</v>
      </c>
      <c r="J13" s="3" t="s">
        <v>230</v>
      </c>
    </row>
    <row r="14" spans="1:10" ht="275.5" x14ac:dyDescent="0.35">
      <c r="A14" s="2" t="s">
        <v>234</v>
      </c>
      <c r="B14" s="2" t="s">
        <v>73</v>
      </c>
      <c r="C14" s="2" t="s">
        <v>531</v>
      </c>
      <c r="D14" s="2" t="s">
        <v>1248</v>
      </c>
      <c r="E14" s="2" t="s">
        <v>929</v>
      </c>
      <c r="F14" s="2" t="s">
        <v>929</v>
      </c>
      <c r="G14" s="2" t="s">
        <v>929</v>
      </c>
      <c r="H14" s="2" t="s">
        <v>929</v>
      </c>
      <c r="I14" s="2" t="s">
        <v>929</v>
      </c>
      <c r="J14" s="2" t="s">
        <v>1249</v>
      </c>
    </row>
    <row r="15" spans="1:10" ht="101.5" x14ac:dyDescent="0.35">
      <c r="A15" s="3" t="s">
        <v>234</v>
      </c>
      <c r="B15" s="3" t="s">
        <v>73</v>
      </c>
      <c r="C15" s="3" t="s">
        <v>546</v>
      </c>
      <c r="D15" s="3" t="s">
        <v>237</v>
      </c>
      <c r="E15" s="3" t="s">
        <v>929</v>
      </c>
      <c r="F15" s="3" t="s">
        <v>929</v>
      </c>
      <c r="G15" s="3" t="s">
        <v>929</v>
      </c>
      <c r="H15" s="3" t="s">
        <v>929</v>
      </c>
      <c r="I15" s="3" t="s">
        <v>929</v>
      </c>
      <c r="J15" s="3" t="s">
        <v>237</v>
      </c>
    </row>
    <row r="16" spans="1:10" ht="116" x14ac:dyDescent="0.35">
      <c r="A16" s="2" t="s">
        <v>252</v>
      </c>
      <c r="B16" s="2" t="s">
        <v>55</v>
      </c>
      <c r="C16" s="2" t="s">
        <v>416</v>
      </c>
      <c r="D16" s="2" t="s">
        <v>255</v>
      </c>
      <c r="E16" s="2" t="s">
        <v>929</v>
      </c>
      <c r="F16" s="2" t="s">
        <v>929</v>
      </c>
      <c r="G16" s="2" t="s">
        <v>929</v>
      </c>
      <c r="H16" s="2" t="s">
        <v>929</v>
      </c>
      <c r="I16" s="2" t="s">
        <v>929</v>
      </c>
      <c r="J16" s="2" t="s">
        <v>255</v>
      </c>
    </row>
    <row r="17" spans="1:10" ht="203" x14ac:dyDescent="0.35">
      <c r="A17" s="3" t="s">
        <v>252</v>
      </c>
      <c r="B17" s="3" t="s">
        <v>55</v>
      </c>
      <c r="C17" s="3" t="s">
        <v>395</v>
      </c>
      <c r="D17" s="3" t="s">
        <v>265</v>
      </c>
      <c r="E17" s="3" t="s">
        <v>929</v>
      </c>
      <c r="F17" s="3" t="s">
        <v>929</v>
      </c>
      <c r="G17" s="3" t="s">
        <v>929</v>
      </c>
      <c r="H17" s="3" t="s">
        <v>929</v>
      </c>
      <c r="I17" s="3" t="s">
        <v>929</v>
      </c>
      <c r="J17" s="3" t="s">
        <v>1250</v>
      </c>
    </row>
    <row r="18" spans="1:10" ht="304.5" x14ac:dyDescent="0.35">
      <c r="A18" s="2" t="s">
        <v>270</v>
      </c>
      <c r="B18" s="2" t="s">
        <v>79</v>
      </c>
      <c r="C18" s="2" t="s">
        <v>416</v>
      </c>
      <c r="D18" s="2" t="s">
        <v>273</v>
      </c>
      <c r="E18" s="2" t="s">
        <v>929</v>
      </c>
      <c r="F18" s="2" t="s">
        <v>929</v>
      </c>
      <c r="G18" s="2" t="s">
        <v>929</v>
      </c>
      <c r="H18" s="2" t="s">
        <v>929</v>
      </c>
      <c r="I18" s="2" t="s">
        <v>929</v>
      </c>
      <c r="J18" s="2" t="s">
        <v>1251</v>
      </c>
    </row>
    <row r="19" spans="1:10" ht="232" x14ac:dyDescent="0.35">
      <c r="A19" s="3" t="s">
        <v>270</v>
      </c>
      <c r="B19" s="3" t="s">
        <v>79</v>
      </c>
      <c r="C19" s="3" t="s">
        <v>395</v>
      </c>
      <c r="D19" s="3" t="s">
        <v>282</v>
      </c>
      <c r="E19" s="3" t="s">
        <v>929</v>
      </c>
      <c r="F19" s="3" t="s">
        <v>929</v>
      </c>
      <c r="G19" s="3" t="s">
        <v>929</v>
      </c>
      <c r="H19" s="3" t="s">
        <v>929</v>
      </c>
      <c r="I19" s="3" t="s">
        <v>929</v>
      </c>
      <c r="J19" s="3" t="s">
        <v>1252</v>
      </c>
    </row>
    <row r="20" spans="1:10" ht="217.5" x14ac:dyDescent="0.35">
      <c r="A20" s="2" t="s">
        <v>285</v>
      </c>
      <c r="B20" s="2" t="s">
        <v>75</v>
      </c>
      <c r="C20" s="2" t="s">
        <v>613</v>
      </c>
      <c r="D20" s="2" t="s">
        <v>288</v>
      </c>
      <c r="E20" s="2" t="s">
        <v>929</v>
      </c>
      <c r="F20" s="2" t="s">
        <v>929</v>
      </c>
      <c r="G20" s="2" t="s">
        <v>929</v>
      </c>
      <c r="H20" s="2" t="s">
        <v>929</v>
      </c>
      <c r="I20" s="2" t="s">
        <v>929</v>
      </c>
      <c r="J20" s="2" t="s">
        <v>288</v>
      </c>
    </row>
    <row r="21" spans="1:10" ht="217.5" x14ac:dyDescent="0.35">
      <c r="A21" s="3" t="s">
        <v>285</v>
      </c>
      <c r="B21" s="3" t="s">
        <v>75</v>
      </c>
      <c r="C21" s="3" t="s">
        <v>624</v>
      </c>
      <c r="D21" s="3" t="s">
        <v>298</v>
      </c>
      <c r="E21" s="3" t="s">
        <v>929</v>
      </c>
      <c r="F21" s="3" t="s">
        <v>929</v>
      </c>
      <c r="G21" s="3" t="s">
        <v>929</v>
      </c>
      <c r="H21" s="3" t="s">
        <v>929</v>
      </c>
      <c r="I21" s="3" t="s">
        <v>929</v>
      </c>
      <c r="J21" s="3" t="s">
        <v>1253</v>
      </c>
    </row>
    <row r="22" spans="1:10" ht="409.5" x14ac:dyDescent="0.35">
      <c r="A22" s="2" t="s">
        <v>318</v>
      </c>
      <c r="B22" s="2" t="s">
        <v>77</v>
      </c>
      <c r="C22" s="2" t="s">
        <v>641</v>
      </c>
      <c r="D22" s="2" t="s">
        <v>321</v>
      </c>
      <c r="E22" s="2" t="s">
        <v>929</v>
      </c>
      <c r="F22" s="2" t="s">
        <v>929</v>
      </c>
      <c r="G22" s="2" t="s">
        <v>929</v>
      </c>
      <c r="H22" s="2" t="s">
        <v>929</v>
      </c>
      <c r="I22" s="2" t="s">
        <v>929</v>
      </c>
      <c r="J22" s="2" t="s">
        <v>1254</v>
      </c>
    </row>
    <row r="23" spans="1:10" ht="409.5" x14ac:dyDescent="0.35">
      <c r="A23" s="3" t="s">
        <v>329</v>
      </c>
      <c r="B23" s="3" t="s">
        <v>77</v>
      </c>
      <c r="C23" s="3" t="s">
        <v>682</v>
      </c>
      <c r="D23" s="3" t="s">
        <v>332</v>
      </c>
      <c r="E23" s="3" t="s">
        <v>929</v>
      </c>
      <c r="F23" s="3" t="s">
        <v>929</v>
      </c>
      <c r="G23" s="3" t="s">
        <v>929</v>
      </c>
      <c r="H23" s="3" t="s">
        <v>929</v>
      </c>
      <c r="I23" s="3" t="s">
        <v>929</v>
      </c>
      <c r="J23" s="3" t="s">
        <v>929</v>
      </c>
    </row>
    <row r="24" spans="1:10" ht="406" x14ac:dyDescent="0.35">
      <c r="A24" s="2" t="s">
        <v>329</v>
      </c>
      <c r="B24" s="2" t="s">
        <v>77</v>
      </c>
      <c r="C24" s="2" t="s">
        <v>710</v>
      </c>
      <c r="D24" s="2" t="s">
        <v>339</v>
      </c>
      <c r="E24" s="2" t="s">
        <v>929</v>
      </c>
      <c r="F24" s="2" t="s">
        <v>929</v>
      </c>
      <c r="G24" s="2" t="s">
        <v>929</v>
      </c>
      <c r="H24" s="2" t="s">
        <v>929</v>
      </c>
      <c r="I24" s="2" t="s">
        <v>929</v>
      </c>
      <c r="J24" s="2" t="s">
        <v>929</v>
      </c>
    </row>
    <row r="25" spans="1:10" ht="409.5" x14ac:dyDescent="0.35">
      <c r="A25" s="3" t="s">
        <v>343</v>
      </c>
      <c r="B25" s="3" t="s">
        <v>83</v>
      </c>
      <c r="C25" s="3" t="s">
        <v>733</v>
      </c>
      <c r="D25" s="3" t="s">
        <v>346</v>
      </c>
      <c r="E25" s="3" t="s">
        <v>929</v>
      </c>
      <c r="F25" s="3" t="s">
        <v>929</v>
      </c>
      <c r="G25" s="3" t="s">
        <v>929</v>
      </c>
      <c r="H25" s="3" t="s">
        <v>929</v>
      </c>
      <c r="I25" s="3" t="s">
        <v>929</v>
      </c>
      <c r="J25" s="3" t="s">
        <v>1255</v>
      </c>
    </row>
    <row r="26" spans="1:10" ht="261" x14ac:dyDescent="0.35">
      <c r="A26" s="2" t="s">
        <v>343</v>
      </c>
      <c r="B26" s="2" t="s">
        <v>83</v>
      </c>
      <c r="C26" s="2" t="s">
        <v>766</v>
      </c>
      <c r="D26" s="2" t="s">
        <v>355</v>
      </c>
      <c r="E26" s="2" t="s">
        <v>929</v>
      </c>
      <c r="F26" s="2" t="s">
        <v>929</v>
      </c>
      <c r="G26" s="2" t="s">
        <v>929</v>
      </c>
      <c r="H26" s="2" t="s">
        <v>929</v>
      </c>
      <c r="I26" s="2" t="s">
        <v>929</v>
      </c>
      <c r="J26" s="2" t="s">
        <v>1256</v>
      </c>
    </row>
    <row r="27" spans="1:10" ht="319" x14ac:dyDescent="0.35">
      <c r="A27" s="3" t="s">
        <v>343</v>
      </c>
      <c r="B27" s="3" t="s">
        <v>83</v>
      </c>
      <c r="C27" s="3" t="s">
        <v>781</v>
      </c>
      <c r="D27" s="3" t="s">
        <v>361</v>
      </c>
      <c r="E27" s="3" t="s">
        <v>929</v>
      </c>
      <c r="F27" s="3" t="s">
        <v>929</v>
      </c>
      <c r="G27" s="3" t="s">
        <v>929</v>
      </c>
      <c r="H27" s="3" t="s">
        <v>929</v>
      </c>
      <c r="I27" s="3" t="s">
        <v>929</v>
      </c>
      <c r="J27" s="3" t="s">
        <v>1257</v>
      </c>
    </row>
    <row r="28" spans="1:10" ht="406" x14ac:dyDescent="0.35">
      <c r="A28" s="2" t="s">
        <v>343</v>
      </c>
      <c r="B28" s="2" t="s">
        <v>83</v>
      </c>
      <c r="C28" s="2" t="s">
        <v>796</v>
      </c>
      <c r="D28" s="2" t="s">
        <v>368</v>
      </c>
      <c r="E28" s="2" t="s">
        <v>929</v>
      </c>
      <c r="F28" s="2" t="s">
        <v>929</v>
      </c>
      <c r="G28" s="2" t="s">
        <v>929</v>
      </c>
      <c r="H28" s="2" t="s">
        <v>929</v>
      </c>
      <c r="I28" s="2" t="s">
        <v>929</v>
      </c>
      <c r="J28" s="2" t="s">
        <v>368</v>
      </c>
    </row>
    <row r="29" spans="1:10" ht="159.5" x14ac:dyDescent="0.35">
      <c r="A29" s="3" t="s">
        <v>343</v>
      </c>
      <c r="B29" s="3" t="s">
        <v>83</v>
      </c>
      <c r="C29" s="3" t="s">
        <v>808</v>
      </c>
      <c r="D29" s="3" t="s">
        <v>374</v>
      </c>
      <c r="E29" s="3" t="s">
        <v>929</v>
      </c>
      <c r="F29" s="3" t="s">
        <v>929</v>
      </c>
      <c r="G29" s="3" t="s">
        <v>929</v>
      </c>
      <c r="H29" s="3" t="s">
        <v>929</v>
      </c>
      <c r="I29" s="3" t="s">
        <v>929</v>
      </c>
      <c r="J29" s="3" t="s">
        <v>374</v>
      </c>
    </row>
    <row r="30" spans="1:10" ht="409.5" x14ac:dyDescent="0.35">
      <c r="A30" s="2" t="s">
        <v>343</v>
      </c>
      <c r="B30" s="2" t="s">
        <v>83</v>
      </c>
      <c r="C30" s="2" t="s">
        <v>826</v>
      </c>
      <c r="D30" s="2" t="s">
        <v>381</v>
      </c>
      <c r="E30" s="2" t="s">
        <v>929</v>
      </c>
      <c r="F30" s="2" t="s">
        <v>929</v>
      </c>
      <c r="G30" s="2" t="s">
        <v>929</v>
      </c>
      <c r="H30" s="2" t="s">
        <v>929</v>
      </c>
      <c r="I30" s="2" t="s">
        <v>929</v>
      </c>
      <c r="J30" s="2" t="s">
        <v>381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32"/>
  <sheetViews>
    <sheetView zoomScale="70" zoomScaleNormal="70" workbookViewId="0">
      <selection activeCell="E1" sqref="E1"/>
    </sheetView>
  </sheetViews>
  <sheetFormatPr baseColWidth="10" defaultColWidth="8.7265625" defaultRowHeight="14.5" x14ac:dyDescent="0.35"/>
  <cols>
    <col min="1" max="1" width="6" customWidth="1"/>
    <col min="2" max="2" width="14" customWidth="1"/>
    <col min="3" max="3" width="24" customWidth="1"/>
    <col min="4" max="5" width="10" customWidth="1"/>
    <col min="6" max="6" width="28" customWidth="1"/>
    <col min="7" max="7" width="10" customWidth="1"/>
    <col min="8" max="8" width="12" customWidth="1"/>
    <col min="9" max="9" width="9" customWidth="1"/>
    <col min="10" max="11" width="34" customWidth="1"/>
    <col min="12" max="12" width="28" customWidth="1"/>
    <col min="13" max="13" width="16" customWidth="1"/>
    <col min="14" max="14" width="18" customWidth="1"/>
    <col min="15" max="15" width="14" customWidth="1"/>
    <col min="16" max="17" width="16" customWidth="1"/>
    <col min="18" max="19" width="22" customWidth="1"/>
    <col min="20" max="20" width="16" customWidth="1"/>
    <col min="21" max="23" width="24" customWidth="1"/>
    <col min="24" max="25" width="30" customWidth="1"/>
    <col min="26" max="26" width="18" customWidth="1"/>
  </cols>
  <sheetData>
    <row r="1" spans="1:26" ht="26" x14ac:dyDescent="0.35">
      <c r="A1" s="1" t="s">
        <v>91</v>
      </c>
      <c r="B1" s="1" t="s">
        <v>92</v>
      </c>
      <c r="C1" s="1" t="s">
        <v>93</v>
      </c>
      <c r="D1" s="1" t="s">
        <v>94</v>
      </c>
      <c r="E1" s="1" t="s">
        <v>95</v>
      </c>
      <c r="F1" s="1" t="s">
        <v>96</v>
      </c>
      <c r="G1" s="1" t="s">
        <v>97</v>
      </c>
      <c r="H1" s="1" t="s">
        <v>98</v>
      </c>
      <c r="I1" s="1" t="s">
        <v>99</v>
      </c>
      <c r="J1" s="1" t="s">
        <v>100</v>
      </c>
      <c r="K1" s="1" t="s">
        <v>101</v>
      </c>
      <c r="L1" s="1" t="s">
        <v>102</v>
      </c>
      <c r="M1" s="1" t="s">
        <v>103</v>
      </c>
      <c r="N1" s="1" t="s">
        <v>104</v>
      </c>
      <c r="O1" s="1" t="s">
        <v>105</v>
      </c>
      <c r="P1" s="1" t="s">
        <v>106</v>
      </c>
      <c r="Q1" s="1" t="s">
        <v>107</v>
      </c>
      <c r="R1" s="1" t="s">
        <v>108</v>
      </c>
      <c r="S1" s="1" t="s">
        <v>109</v>
      </c>
      <c r="T1" s="1" t="s">
        <v>110</v>
      </c>
      <c r="U1" s="1" t="s">
        <v>111</v>
      </c>
      <c r="V1" s="1" t="s">
        <v>112</v>
      </c>
      <c r="W1" s="1" t="s">
        <v>113</v>
      </c>
      <c r="X1" s="1" t="s">
        <v>114</v>
      </c>
      <c r="Y1" s="1" t="s">
        <v>115</v>
      </c>
      <c r="Z1" s="1" t="s">
        <v>116</v>
      </c>
    </row>
    <row r="2" spans="1:26" ht="174" x14ac:dyDescent="0.35">
      <c r="A2" s="2">
        <v>1</v>
      </c>
      <c r="B2" s="2" t="s">
        <v>66</v>
      </c>
      <c r="C2" s="2" t="s">
        <v>124</v>
      </c>
      <c r="D2" s="2" t="s">
        <v>125</v>
      </c>
      <c r="E2" s="2" t="s">
        <v>57</v>
      </c>
      <c r="F2" s="2" t="s">
        <v>126</v>
      </c>
      <c r="G2" s="2" t="s">
        <v>127</v>
      </c>
      <c r="H2" s="2" t="s">
        <v>1101</v>
      </c>
      <c r="I2" s="2">
        <v>1</v>
      </c>
      <c r="J2" s="2" t="s">
        <v>128</v>
      </c>
      <c r="K2" s="2" t="s">
        <v>129</v>
      </c>
      <c r="L2" s="2" t="s">
        <v>130</v>
      </c>
      <c r="M2" s="2" t="s">
        <v>929</v>
      </c>
      <c r="N2" s="2" t="s">
        <v>929</v>
      </c>
      <c r="O2" s="2" t="s">
        <v>929</v>
      </c>
      <c r="P2" s="2" t="s">
        <v>929</v>
      </c>
      <c r="Q2" s="2" t="s">
        <v>929</v>
      </c>
      <c r="R2" s="2" t="s">
        <v>131</v>
      </c>
      <c r="S2" s="2" t="s">
        <v>132</v>
      </c>
      <c r="T2" s="2" t="s">
        <v>929</v>
      </c>
      <c r="U2" s="2" t="s">
        <v>133</v>
      </c>
      <c r="V2" s="2" t="s">
        <v>134</v>
      </c>
      <c r="W2" s="2" t="s">
        <v>135</v>
      </c>
      <c r="X2" s="2" t="s">
        <v>136</v>
      </c>
      <c r="Y2" s="2" t="s">
        <v>137</v>
      </c>
      <c r="Z2" s="2" t="s">
        <v>929</v>
      </c>
    </row>
    <row r="3" spans="1:26" ht="261" x14ac:dyDescent="0.35">
      <c r="A3" s="3">
        <v>2</v>
      </c>
      <c r="B3" s="3" t="s">
        <v>66</v>
      </c>
      <c r="C3" s="3" t="s">
        <v>124</v>
      </c>
      <c r="D3" s="3" t="s">
        <v>125</v>
      </c>
      <c r="E3" s="3" t="s">
        <v>57</v>
      </c>
      <c r="F3" s="3" t="s">
        <v>126</v>
      </c>
      <c r="G3" s="3" t="s">
        <v>127</v>
      </c>
      <c r="H3" s="3" t="s">
        <v>1101</v>
      </c>
      <c r="I3" s="3">
        <v>2</v>
      </c>
      <c r="J3" s="3" t="s">
        <v>138</v>
      </c>
      <c r="K3" s="3" t="s">
        <v>139</v>
      </c>
      <c r="L3" s="3" t="s">
        <v>140</v>
      </c>
      <c r="M3" s="3" t="s">
        <v>929</v>
      </c>
      <c r="N3" s="3" t="s">
        <v>929</v>
      </c>
      <c r="O3" s="3" t="s">
        <v>929</v>
      </c>
      <c r="P3" s="3" t="s">
        <v>929</v>
      </c>
      <c r="Q3" s="3" t="s">
        <v>929</v>
      </c>
      <c r="R3" s="3" t="s">
        <v>141</v>
      </c>
      <c r="S3" s="3" t="s">
        <v>141</v>
      </c>
      <c r="T3" s="3" t="s">
        <v>142</v>
      </c>
      <c r="U3" s="3" t="s">
        <v>143</v>
      </c>
      <c r="V3" s="3" t="s">
        <v>134</v>
      </c>
      <c r="W3" s="3" t="s">
        <v>135</v>
      </c>
      <c r="X3" s="3" t="s">
        <v>136</v>
      </c>
      <c r="Y3" s="3" t="s">
        <v>137</v>
      </c>
      <c r="Z3" s="3" t="s">
        <v>929</v>
      </c>
    </row>
    <row r="4" spans="1:26" ht="116" x14ac:dyDescent="0.35">
      <c r="A4" s="2">
        <v>3</v>
      </c>
      <c r="B4" s="2" t="s">
        <v>63</v>
      </c>
      <c r="C4" s="2" t="s">
        <v>144</v>
      </c>
      <c r="D4" s="2" t="s">
        <v>145</v>
      </c>
      <c r="E4" s="2" t="s">
        <v>57</v>
      </c>
      <c r="F4" s="2" t="s">
        <v>146</v>
      </c>
      <c r="G4" s="2" t="s">
        <v>127</v>
      </c>
      <c r="H4" s="2" t="s">
        <v>1101</v>
      </c>
      <c r="I4" s="2">
        <v>1</v>
      </c>
      <c r="J4" s="2" t="s">
        <v>147</v>
      </c>
      <c r="K4" s="2" t="s">
        <v>148</v>
      </c>
      <c r="L4" s="2" t="s">
        <v>149</v>
      </c>
      <c r="M4" s="2" t="s">
        <v>929</v>
      </c>
      <c r="N4" s="2" t="s">
        <v>929</v>
      </c>
      <c r="O4" s="2" t="s">
        <v>929</v>
      </c>
      <c r="P4" s="2" t="s">
        <v>929</v>
      </c>
      <c r="Q4" s="2" t="s">
        <v>929</v>
      </c>
      <c r="R4" s="2" t="s">
        <v>150</v>
      </c>
      <c r="S4" s="2" t="s">
        <v>151</v>
      </c>
      <c r="T4" s="2" t="s">
        <v>152</v>
      </c>
      <c r="U4" s="2" t="s">
        <v>153</v>
      </c>
      <c r="V4" s="2" t="s">
        <v>154</v>
      </c>
      <c r="W4" s="2" t="s">
        <v>155</v>
      </c>
      <c r="X4" s="2" t="s">
        <v>156</v>
      </c>
      <c r="Y4" s="2" t="s">
        <v>157</v>
      </c>
      <c r="Z4" s="2" t="s">
        <v>929</v>
      </c>
    </row>
    <row r="5" spans="1:26" ht="261" x14ac:dyDescent="0.35">
      <c r="A5" s="3">
        <v>4</v>
      </c>
      <c r="B5" s="3" t="s">
        <v>63</v>
      </c>
      <c r="C5" s="3" t="s">
        <v>144</v>
      </c>
      <c r="D5" s="3" t="s">
        <v>145</v>
      </c>
      <c r="E5" s="3" t="s">
        <v>57</v>
      </c>
      <c r="F5" s="3" t="s">
        <v>146</v>
      </c>
      <c r="G5" s="3" t="s">
        <v>127</v>
      </c>
      <c r="H5" s="3" t="s">
        <v>1101</v>
      </c>
      <c r="I5" s="3">
        <v>2</v>
      </c>
      <c r="J5" s="3" t="s">
        <v>158</v>
      </c>
      <c r="K5" s="3" t="s">
        <v>159</v>
      </c>
      <c r="L5" s="3" t="s">
        <v>160</v>
      </c>
      <c r="M5" s="3" t="s">
        <v>929</v>
      </c>
      <c r="N5" s="3" t="s">
        <v>929</v>
      </c>
      <c r="O5" s="3" t="s">
        <v>929</v>
      </c>
      <c r="P5" s="3" t="s">
        <v>929</v>
      </c>
      <c r="Q5" s="3" t="s">
        <v>929</v>
      </c>
      <c r="R5" s="3" t="s">
        <v>161</v>
      </c>
      <c r="S5" s="3" t="s">
        <v>162</v>
      </c>
      <c r="T5" s="3" t="s">
        <v>152</v>
      </c>
      <c r="U5" s="3" t="s">
        <v>163</v>
      </c>
      <c r="V5" s="3" t="s">
        <v>154</v>
      </c>
      <c r="W5" s="3" t="s">
        <v>155</v>
      </c>
      <c r="X5" s="3" t="s">
        <v>156</v>
      </c>
      <c r="Y5" s="3" t="s">
        <v>157</v>
      </c>
      <c r="Z5" s="3" t="s">
        <v>929</v>
      </c>
    </row>
    <row r="6" spans="1:26" ht="232" x14ac:dyDescent="0.35">
      <c r="A6" s="2">
        <v>5</v>
      </c>
      <c r="B6" s="2" t="s">
        <v>60</v>
      </c>
      <c r="C6" s="2" t="s">
        <v>164</v>
      </c>
      <c r="D6" s="2" t="s">
        <v>125</v>
      </c>
      <c r="E6" s="2" t="s">
        <v>57</v>
      </c>
      <c r="F6" s="2" t="s">
        <v>165</v>
      </c>
      <c r="G6" s="2" t="s">
        <v>166</v>
      </c>
      <c r="H6" s="2" t="s">
        <v>1101</v>
      </c>
      <c r="I6" s="2">
        <v>1</v>
      </c>
      <c r="J6" s="2" t="s">
        <v>167</v>
      </c>
      <c r="K6" s="2" t="s">
        <v>168</v>
      </c>
      <c r="L6" s="2" t="s">
        <v>169</v>
      </c>
      <c r="M6" s="2" t="s">
        <v>929</v>
      </c>
      <c r="N6" s="2" t="s">
        <v>929</v>
      </c>
      <c r="O6" s="2" t="s">
        <v>929</v>
      </c>
      <c r="P6" s="2" t="s">
        <v>929</v>
      </c>
      <c r="Q6" s="2" t="s">
        <v>929</v>
      </c>
      <c r="R6" s="2" t="s">
        <v>170</v>
      </c>
      <c r="S6" s="2" t="s">
        <v>171</v>
      </c>
      <c r="T6" s="2" t="s">
        <v>172</v>
      </c>
      <c r="U6" s="2" t="s">
        <v>173</v>
      </c>
      <c r="V6" s="2" t="s">
        <v>174</v>
      </c>
      <c r="W6" s="2" t="s">
        <v>175</v>
      </c>
      <c r="X6" s="2" t="s">
        <v>176</v>
      </c>
      <c r="Y6" s="2" t="s">
        <v>177</v>
      </c>
      <c r="Z6" s="2" t="s">
        <v>929</v>
      </c>
    </row>
    <row r="7" spans="1:26" ht="275.5" x14ac:dyDescent="0.35">
      <c r="A7" s="3">
        <v>6</v>
      </c>
      <c r="B7" s="3" t="s">
        <v>60</v>
      </c>
      <c r="C7" s="3" t="s">
        <v>164</v>
      </c>
      <c r="D7" s="3" t="s">
        <v>125</v>
      </c>
      <c r="E7" s="3" t="s">
        <v>57</v>
      </c>
      <c r="F7" s="3" t="s">
        <v>165</v>
      </c>
      <c r="G7" s="3" t="s">
        <v>166</v>
      </c>
      <c r="H7" s="3" t="s">
        <v>1101</v>
      </c>
      <c r="I7" s="3">
        <v>2</v>
      </c>
      <c r="J7" s="3" t="s">
        <v>178</v>
      </c>
      <c r="K7" s="3" t="s">
        <v>179</v>
      </c>
      <c r="L7" s="3" t="s">
        <v>180</v>
      </c>
      <c r="M7" s="3" t="s">
        <v>929</v>
      </c>
      <c r="N7" s="3" t="s">
        <v>929</v>
      </c>
      <c r="O7" s="3" t="s">
        <v>929</v>
      </c>
      <c r="P7" s="3" t="s">
        <v>929</v>
      </c>
      <c r="Q7" s="3" t="s">
        <v>929</v>
      </c>
      <c r="R7" s="3" t="s">
        <v>181</v>
      </c>
      <c r="S7" s="3" t="s">
        <v>182</v>
      </c>
      <c r="T7" s="3" t="s">
        <v>929</v>
      </c>
      <c r="U7" s="3" t="s">
        <v>183</v>
      </c>
      <c r="V7" s="3" t="s">
        <v>174</v>
      </c>
      <c r="W7" s="3" t="s">
        <v>175</v>
      </c>
      <c r="X7" s="3" t="s">
        <v>176</v>
      </c>
      <c r="Y7" s="3" t="s">
        <v>177</v>
      </c>
      <c r="Z7" s="3" t="s">
        <v>929</v>
      </c>
    </row>
    <row r="8" spans="1:26" ht="261" x14ac:dyDescent="0.35">
      <c r="A8" s="2">
        <v>7</v>
      </c>
      <c r="B8" s="2" t="s">
        <v>87</v>
      </c>
      <c r="C8" s="2" t="s">
        <v>184</v>
      </c>
      <c r="D8" s="2" t="s">
        <v>185</v>
      </c>
      <c r="E8" s="2" t="s">
        <v>57</v>
      </c>
      <c r="F8" s="2" t="s">
        <v>186</v>
      </c>
      <c r="G8" s="2" t="s">
        <v>127</v>
      </c>
      <c r="H8" s="2" t="s">
        <v>1101</v>
      </c>
      <c r="I8" s="2">
        <v>1</v>
      </c>
      <c r="J8" s="2" t="s">
        <v>187</v>
      </c>
      <c r="K8" s="2" t="s">
        <v>188</v>
      </c>
      <c r="L8" s="2" t="s">
        <v>189</v>
      </c>
      <c r="M8" s="2" t="s">
        <v>929</v>
      </c>
      <c r="N8" s="2" t="s">
        <v>929</v>
      </c>
      <c r="O8" s="2" t="s">
        <v>929</v>
      </c>
      <c r="P8" s="2" t="s">
        <v>929</v>
      </c>
      <c r="Q8" s="2" t="s">
        <v>929</v>
      </c>
      <c r="R8" s="2" t="s">
        <v>190</v>
      </c>
      <c r="S8" s="2" t="s">
        <v>191</v>
      </c>
      <c r="T8" s="2" t="s">
        <v>192</v>
      </c>
      <c r="U8" s="2" t="s">
        <v>173</v>
      </c>
      <c r="V8" s="2" t="s">
        <v>193</v>
      </c>
      <c r="W8" s="2" t="s">
        <v>194</v>
      </c>
      <c r="X8" s="2" t="s">
        <v>193</v>
      </c>
      <c r="Y8" s="2" t="s">
        <v>195</v>
      </c>
      <c r="Z8" s="2" t="s">
        <v>929</v>
      </c>
    </row>
    <row r="9" spans="1:26" ht="275.5" x14ac:dyDescent="0.35">
      <c r="A9" s="3">
        <v>8</v>
      </c>
      <c r="B9" s="3" t="s">
        <v>87</v>
      </c>
      <c r="C9" s="3" t="s">
        <v>184</v>
      </c>
      <c r="D9" s="3" t="s">
        <v>185</v>
      </c>
      <c r="E9" s="3" t="s">
        <v>57</v>
      </c>
      <c r="F9" s="3" t="s">
        <v>186</v>
      </c>
      <c r="G9" s="3" t="s">
        <v>127</v>
      </c>
      <c r="H9" s="3" t="s">
        <v>1101</v>
      </c>
      <c r="I9" s="3">
        <v>2</v>
      </c>
      <c r="J9" s="3" t="s">
        <v>196</v>
      </c>
      <c r="K9" s="3" t="s">
        <v>197</v>
      </c>
      <c r="L9" s="3" t="s">
        <v>198</v>
      </c>
      <c r="M9" s="3" t="s">
        <v>929</v>
      </c>
      <c r="N9" s="3" t="s">
        <v>929</v>
      </c>
      <c r="O9" s="3" t="s">
        <v>929</v>
      </c>
      <c r="P9" s="3" t="s">
        <v>929</v>
      </c>
      <c r="Q9" s="3" t="s">
        <v>929</v>
      </c>
      <c r="R9" s="3" t="s">
        <v>190</v>
      </c>
      <c r="S9" s="3" t="s">
        <v>199</v>
      </c>
      <c r="T9" s="3" t="s">
        <v>200</v>
      </c>
      <c r="U9" s="3" t="s">
        <v>173</v>
      </c>
      <c r="V9" s="3" t="s">
        <v>193</v>
      </c>
      <c r="W9" s="3" t="s">
        <v>194</v>
      </c>
      <c r="X9" s="3" t="s">
        <v>193</v>
      </c>
      <c r="Y9" s="3" t="s">
        <v>195</v>
      </c>
      <c r="Z9" s="3" t="s">
        <v>929</v>
      </c>
    </row>
    <row r="10" spans="1:26" ht="319" x14ac:dyDescent="0.35">
      <c r="A10" s="2">
        <v>9</v>
      </c>
      <c r="B10" s="2" t="s">
        <v>87</v>
      </c>
      <c r="C10" s="2" t="s">
        <v>184</v>
      </c>
      <c r="D10" s="2" t="s">
        <v>185</v>
      </c>
      <c r="E10" s="2" t="s">
        <v>57</v>
      </c>
      <c r="F10" s="2" t="s">
        <v>186</v>
      </c>
      <c r="G10" s="2" t="s">
        <v>127</v>
      </c>
      <c r="H10" s="2" t="s">
        <v>1101</v>
      </c>
      <c r="I10" s="2">
        <v>3</v>
      </c>
      <c r="J10" s="2" t="s">
        <v>201</v>
      </c>
      <c r="K10" s="2" t="s">
        <v>202</v>
      </c>
      <c r="L10" s="2" t="s">
        <v>203</v>
      </c>
      <c r="M10" s="2" t="s">
        <v>929</v>
      </c>
      <c r="N10" s="2" t="s">
        <v>929</v>
      </c>
      <c r="O10" s="2" t="s">
        <v>929</v>
      </c>
      <c r="P10" s="2" t="s">
        <v>929</v>
      </c>
      <c r="Q10" s="2" t="s">
        <v>929</v>
      </c>
      <c r="R10" s="2" t="s">
        <v>204</v>
      </c>
      <c r="S10" s="2" t="s">
        <v>205</v>
      </c>
      <c r="T10" s="2" t="s">
        <v>206</v>
      </c>
      <c r="U10" s="2" t="s">
        <v>207</v>
      </c>
      <c r="V10" s="2" t="s">
        <v>193</v>
      </c>
      <c r="W10" s="2" t="s">
        <v>194</v>
      </c>
      <c r="X10" s="2" t="s">
        <v>193</v>
      </c>
      <c r="Y10" s="2" t="s">
        <v>195</v>
      </c>
      <c r="Z10" s="2" t="s">
        <v>929</v>
      </c>
    </row>
    <row r="11" spans="1:26" ht="145" x14ac:dyDescent="0.35">
      <c r="A11" s="3">
        <v>10</v>
      </c>
      <c r="B11" s="3" t="s">
        <v>87</v>
      </c>
      <c r="C11" s="3" t="s">
        <v>184</v>
      </c>
      <c r="D11" s="3" t="s">
        <v>185</v>
      </c>
      <c r="E11" s="3" t="s">
        <v>57</v>
      </c>
      <c r="F11" s="3" t="s">
        <v>186</v>
      </c>
      <c r="G11" s="3" t="s">
        <v>127</v>
      </c>
      <c r="H11" s="3" t="s">
        <v>1101</v>
      </c>
      <c r="I11" s="3">
        <v>4</v>
      </c>
      <c r="J11" s="3" t="s">
        <v>208</v>
      </c>
      <c r="K11" s="3" t="s">
        <v>209</v>
      </c>
      <c r="L11" s="3" t="s">
        <v>210</v>
      </c>
      <c r="M11" s="3" t="s">
        <v>929</v>
      </c>
      <c r="N11" s="3" t="s">
        <v>929</v>
      </c>
      <c r="O11" s="3" t="s">
        <v>929</v>
      </c>
      <c r="P11" s="3" t="s">
        <v>929</v>
      </c>
      <c r="Q11" s="3" t="s">
        <v>929</v>
      </c>
      <c r="R11" s="3" t="s">
        <v>211</v>
      </c>
      <c r="S11" s="3" t="s">
        <v>212</v>
      </c>
      <c r="T11" s="3" t="s">
        <v>213</v>
      </c>
      <c r="U11" s="3" t="s">
        <v>214</v>
      </c>
      <c r="V11" s="3" t="s">
        <v>193</v>
      </c>
      <c r="W11" s="3" t="s">
        <v>194</v>
      </c>
      <c r="X11" s="3" t="s">
        <v>193</v>
      </c>
      <c r="Y11" s="3" t="s">
        <v>195</v>
      </c>
      <c r="Z11" s="3" t="s">
        <v>929</v>
      </c>
    </row>
    <row r="12" spans="1:26" ht="145" x14ac:dyDescent="0.35">
      <c r="A12" s="2">
        <v>11</v>
      </c>
      <c r="B12" s="2" t="s">
        <v>68</v>
      </c>
      <c r="C12" s="2" t="s">
        <v>215</v>
      </c>
      <c r="D12" s="2" t="s">
        <v>125</v>
      </c>
      <c r="E12" s="2" t="s">
        <v>57</v>
      </c>
      <c r="F12" s="2" t="s">
        <v>216</v>
      </c>
      <c r="G12" s="2" t="s">
        <v>127</v>
      </c>
      <c r="H12" s="2" t="s">
        <v>1108</v>
      </c>
      <c r="I12" s="2">
        <v>1</v>
      </c>
      <c r="J12" s="2" t="s">
        <v>217</v>
      </c>
      <c r="K12" s="2" t="s">
        <v>218</v>
      </c>
      <c r="L12" s="2" t="s">
        <v>219</v>
      </c>
      <c r="M12" s="2" t="s">
        <v>929</v>
      </c>
      <c r="N12" s="2" t="s">
        <v>929</v>
      </c>
      <c r="O12" s="2" t="s">
        <v>929</v>
      </c>
      <c r="P12" s="2" t="s">
        <v>929</v>
      </c>
      <c r="Q12" s="2" t="s">
        <v>929</v>
      </c>
      <c r="R12" s="2" t="s">
        <v>220</v>
      </c>
      <c r="S12" s="2" t="s">
        <v>221</v>
      </c>
      <c r="T12" s="2" t="s">
        <v>222</v>
      </c>
      <c r="U12" s="2" t="s">
        <v>223</v>
      </c>
      <c r="V12" s="2" t="s">
        <v>224</v>
      </c>
      <c r="W12" s="2" t="s">
        <v>225</v>
      </c>
      <c r="X12" s="2" t="s">
        <v>226</v>
      </c>
      <c r="Y12" s="2" t="s">
        <v>227</v>
      </c>
      <c r="Z12" s="2" t="s">
        <v>929</v>
      </c>
    </row>
    <row r="13" spans="1:26" ht="145" x14ac:dyDescent="0.35">
      <c r="A13" s="3">
        <v>12</v>
      </c>
      <c r="B13" s="3" t="s">
        <v>68</v>
      </c>
      <c r="C13" s="3" t="s">
        <v>215</v>
      </c>
      <c r="D13" s="3" t="s">
        <v>125</v>
      </c>
      <c r="E13" s="3" t="s">
        <v>57</v>
      </c>
      <c r="F13" s="3" t="s">
        <v>216</v>
      </c>
      <c r="G13" s="3" t="s">
        <v>127</v>
      </c>
      <c r="H13" s="3" t="s">
        <v>1108</v>
      </c>
      <c r="I13" s="3">
        <v>2</v>
      </c>
      <c r="J13" s="3" t="s">
        <v>228</v>
      </c>
      <c r="K13" s="3" t="s">
        <v>229</v>
      </c>
      <c r="L13" s="3" t="s">
        <v>230</v>
      </c>
      <c r="M13" s="3" t="s">
        <v>929</v>
      </c>
      <c r="N13" s="3" t="s">
        <v>929</v>
      </c>
      <c r="O13" s="3" t="s">
        <v>929</v>
      </c>
      <c r="P13" s="3" t="s">
        <v>929</v>
      </c>
      <c r="Q13" s="3" t="s">
        <v>929</v>
      </c>
      <c r="R13" s="3" t="s">
        <v>220</v>
      </c>
      <c r="S13" s="3" t="s">
        <v>231</v>
      </c>
      <c r="T13" s="3" t="s">
        <v>232</v>
      </c>
      <c r="U13" s="3" t="s">
        <v>223</v>
      </c>
      <c r="V13" s="3" t="s">
        <v>224</v>
      </c>
      <c r="W13" s="3" t="s">
        <v>225</v>
      </c>
      <c r="X13" s="3" t="s">
        <v>226</v>
      </c>
      <c r="Y13" s="3" t="s">
        <v>227</v>
      </c>
      <c r="Z13" s="3" t="s">
        <v>929</v>
      </c>
    </row>
    <row r="14" spans="1:26" ht="130.5" x14ac:dyDescent="0.35">
      <c r="A14" s="2">
        <v>13</v>
      </c>
      <c r="B14" s="2" t="s">
        <v>73</v>
      </c>
      <c r="C14" s="2" t="s">
        <v>233</v>
      </c>
      <c r="D14" s="2" t="s">
        <v>125</v>
      </c>
      <c r="E14" s="2" t="s">
        <v>57</v>
      </c>
      <c r="F14" s="2" t="s">
        <v>234</v>
      </c>
      <c r="G14" s="2" t="s">
        <v>127</v>
      </c>
      <c r="H14" s="2" t="s">
        <v>1110</v>
      </c>
      <c r="I14" s="2">
        <v>1</v>
      </c>
      <c r="J14" s="2" t="s">
        <v>235</v>
      </c>
      <c r="K14" s="2" t="s">
        <v>236</v>
      </c>
      <c r="L14" s="2" t="s">
        <v>237</v>
      </c>
      <c r="M14" s="2" t="s">
        <v>929</v>
      </c>
      <c r="N14" s="2" t="s">
        <v>929</v>
      </c>
      <c r="O14" s="2" t="s">
        <v>929</v>
      </c>
      <c r="P14" s="2" t="s">
        <v>929</v>
      </c>
      <c r="Q14" s="2" t="s">
        <v>929</v>
      </c>
      <c r="R14" s="2" t="s">
        <v>238</v>
      </c>
      <c r="S14" s="2" t="s">
        <v>239</v>
      </c>
      <c r="T14" s="2" t="s">
        <v>240</v>
      </c>
      <c r="U14" s="2" t="s">
        <v>241</v>
      </c>
      <c r="V14" s="2" t="s">
        <v>242</v>
      </c>
      <c r="W14" s="2" t="s">
        <v>243</v>
      </c>
      <c r="X14" s="2" t="s">
        <v>242</v>
      </c>
      <c r="Y14" s="2" t="s">
        <v>244</v>
      </c>
      <c r="Z14" s="2" t="s">
        <v>929</v>
      </c>
    </row>
    <row r="15" spans="1:26" ht="130.5" x14ac:dyDescent="0.35">
      <c r="A15" s="3">
        <v>14</v>
      </c>
      <c r="B15" s="3" t="s">
        <v>73</v>
      </c>
      <c r="C15" s="3" t="s">
        <v>233</v>
      </c>
      <c r="D15" s="3" t="s">
        <v>125</v>
      </c>
      <c r="E15" s="3" t="s">
        <v>57</v>
      </c>
      <c r="F15" s="3" t="s">
        <v>234</v>
      </c>
      <c r="G15" s="3" t="s">
        <v>127</v>
      </c>
      <c r="H15" s="3" t="s">
        <v>1110</v>
      </c>
      <c r="I15" s="3">
        <v>1</v>
      </c>
      <c r="J15" s="3" t="s">
        <v>245</v>
      </c>
      <c r="K15" s="3" t="s">
        <v>246</v>
      </c>
      <c r="L15" s="3" t="s">
        <v>237</v>
      </c>
      <c r="M15" s="3" t="s">
        <v>929</v>
      </c>
      <c r="N15" s="3" t="s">
        <v>929</v>
      </c>
      <c r="O15" s="3" t="s">
        <v>929</v>
      </c>
      <c r="P15" s="3" t="s">
        <v>929</v>
      </c>
      <c r="Q15" s="3" t="s">
        <v>929</v>
      </c>
      <c r="R15" s="3" t="s">
        <v>247</v>
      </c>
      <c r="S15" s="3" t="s">
        <v>248</v>
      </c>
      <c r="T15" s="3" t="s">
        <v>249</v>
      </c>
      <c r="U15" s="3" t="s">
        <v>250</v>
      </c>
      <c r="V15" s="3" t="s">
        <v>242</v>
      </c>
      <c r="W15" s="3" t="s">
        <v>243</v>
      </c>
      <c r="X15" s="3" t="s">
        <v>242</v>
      </c>
      <c r="Y15" s="3" t="s">
        <v>244</v>
      </c>
      <c r="Z15" s="3" t="s">
        <v>929</v>
      </c>
    </row>
    <row r="16" spans="1:26" ht="159.5" x14ac:dyDescent="0.35">
      <c r="A16" s="2">
        <v>15</v>
      </c>
      <c r="B16" s="2" t="s">
        <v>55</v>
      </c>
      <c r="C16" s="2" t="s">
        <v>251</v>
      </c>
      <c r="D16" s="2" t="s">
        <v>125</v>
      </c>
      <c r="E16" s="2" t="s">
        <v>57</v>
      </c>
      <c r="F16" s="2" t="s">
        <v>252</v>
      </c>
      <c r="G16" s="2" t="s">
        <v>166</v>
      </c>
      <c r="H16" s="2" t="s">
        <v>1113</v>
      </c>
      <c r="I16" s="2">
        <v>1</v>
      </c>
      <c r="J16" s="2" t="s">
        <v>253</v>
      </c>
      <c r="K16" s="2" t="s">
        <v>254</v>
      </c>
      <c r="L16" s="2" t="s">
        <v>255</v>
      </c>
      <c r="M16" s="2" t="s">
        <v>929</v>
      </c>
      <c r="N16" s="2" t="s">
        <v>929</v>
      </c>
      <c r="O16" s="2" t="s">
        <v>929</v>
      </c>
      <c r="P16" s="2" t="s">
        <v>929</v>
      </c>
      <c r="Q16" s="2" t="s">
        <v>929</v>
      </c>
      <c r="R16" s="2" t="s">
        <v>256</v>
      </c>
      <c r="S16" s="2" t="s">
        <v>257</v>
      </c>
      <c r="T16" s="2" t="s">
        <v>929</v>
      </c>
      <c r="U16" s="2" t="s">
        <v>258</v>
      </c>
      <c r="V16" s="2" t="s">
        <v>259</v>
      </c>
      <c r="W16" s="2" t="s">
        <v>260</v>
      </c>
      <c r="X16" s="2" t="s">
        <v>261</v>
      </c>
      <c r="Y16" s="2" t="s">
        <v>262</v>
      </c>
      <c r="Z16" s="2" t="s">
        <v>929</v>
      </c>
    </row>
    <row r="17" spans="1:26" ht="246.5" x14ac:dyDescent="0.35">
      <c r="A17" s="3">
        <v>16</v>
      </c>
      <c r="B17" s="3" t="s">
        <v>55</v>
      </c>
      <c r="C17" s="3" t="s">
        <v>251</v>
      </c>
      <c r="D17" s="3" t="s">
        <v>125</v>
      </c>
      <c r="E17" s="3" t="s">
        <v>57</v>
      </c>
      <c r="F17" s="3" t="s">
        <v>252</v>
      </c>
      <c r="G17" s="3" t="s">
        <v>166</v>
      </c>
      <c r="H17" s="3" t="s">
        <v>1113</v>
      </c>
      <c r="I17" s="3">
        <v>2</v>
      </c>
      <c r="J17" s="3" t="s">
        <v>263</v>
      </c>
      <c r="K17" s="3" t="s">
        <v>264</v>
      </c>
      <c r="L17" s="3" t="s">
        <v>265</v>
      </c>
      <c r="M17" s="3" t="s">
        <v>929</v>
      </c>
      <c r="N17" s="3" t="s">
        <v>929</v>
      </c>
      <c r="O17" s="3" t="s">
        <v>929</v>
      </c>
      <c r="P17" s="3" t="s">
        <v>929</v>
      </c>
      <c r="Q17" s="3" t="s">
        <v>929</v>
      </c>
      <c r="R17" s="3" t="s">
        <v>266</v>
      </c>
      <c r="S17" s="3" t="s">
        <v>267</v>
      </c>
      <c r="T17" s="3" t="s">
        <v>929</v>
      </c>
      <c r="U17" s="3" t="s">
        <v>268</v>
      </c>
      <c r="V17" s="3" t="s">
        <v>259</v>
      </c>
      <c r="W17" s="3" t="s">
        <v>260</v>
      </c>
      <c r="X17" s="3" t="s">
        <v>261</v>
      </c>
      <c r="Y17" s="3" t="s">
        <v>262</v>
      </c>
      <c r="Z17" s="3" t="s">
        <v>929</v>
      </c>
    </row>
    <row r="18" spans="1:26" ht="391.5" x14ac:dyDescent="0.35">
      <c r="A18" s="2">
        <v>17</v>
      </c>
      <c r="B18" s="2" t="s">
        <v>79</v>
      </c>
      <c r="C18" s="2" t="s">
        <v>269</v>
      </c>
      <c r="D18" s="2" t="s">
        <v>125</v>
      </c>
      <c r="E18" s="2" t="s">
        <v>57</v>
      </c>
      <c r="F18" s="2" t="s">
        <v>270</v>
      </c>
      <c r="G18" s="2" t="s">
        <v>127</v>
      </c>
      <c r="H18" s="2" t="s">
        <v>1116</v>
      </c>
      <c r="I18" s="2">
        <v>1</v>
      </c>
      <c r="J18" s="2" t="s">
        <v>271</v>
      </c>
      <c r="K18" s="2" t="s">
        <v>272</v>
      </c>
      <c r="L18" s="2" t="s">
        <v>273</v>
      </c>
      <c r="M18" s="2" t="s">
        <v>929</v>
      </c>
      <c r="N18" s="2" t="s">
        <v>929</v>
      </c>
      <c r="O18" s="2" t="s">
        <v>929</v>
      </c>
      <c r="P18" s="2" t="s">
        <v>929</v>
      </c>
      <c r="Q18" s="2" t="s">
        <v>929</v>
      </c>
      <c r="R18" s="2" t="s">
        <v>274</v>
      </c>
      <c r="S18" s="2" t="s">
        <v>275</v>
      </c>
      <c r="T18" s="2" t="s">
        <v>929</v>
      </c>
      <c r="U18" s="2" t="s">
        <v>173</v>
      </c>
      <c r="V18" s="2" t="s">
        <v>276</v>
      </c>
      <c r="W18" s="2" t="s">
        <v>277</v>
      </c>
      <c r="X18" s="2" t="s">
        <v>278</v>
      </c>
      <c r="Y18" s="2" t="s">
        <v>279</v>
      </c>
      <c r="Z18" s="2" t="s">
        <v>929</v>
      </c>
    </row>
    <row r="19" spans="1:26" ht="290" x14ac:dyDescent="0.35">
      <c r="A19" s="3">
        <v>18</v>
      </c>
      <c r="B19" s="3" t="s">
        <v>79</v>
      </c>
      <c r="C19" s="3" t="s">
        <v>269</v>
      </c>
      <c r="D19" s="3" t="s">
        <v>125</v>
      </c>
      <c r="E19" s="3" t="s">
        <v>57</v>
      </c>
      <c r="F19" s="3" t="s">
        <v>270</v>
      </c>
      <c r="G19" s="3" t="s">
        <v>127</v>
      </c>
      <c r="H19" s="3" t="s">
        <v>1116</v>
      </c>
      <c r="I19" s="3">
        <v>2</v>
      </c>
      <c r="J19" s="3" t="s">
        <v>280</v>
      </c>
      <c r="K19" s="3" t="s">
        <v>281</v>
      </c>
      <c r="L19" s="3" t="s">
        <v>282</v>
      </c>
      <c r="M19" s="3" t="s">
        <v>929</v>
      </c>
      <c r="N19" s="3" t="s">
        <v>929</v>
      </c>
      <c r="O19" s="3" t="s">
        <v>929</v>
      </c>
      <c r="P19" s="3" t="s">
        <v>929</v>
      </c>
      <c r="Q19" s="3" t="s">
        <v>929</v>
      </c>
      <c r="R19" s="3" t="s">
        <v>283</v>
      </c>
      <c r="S19" s="3" t="s">
        <v>275</v>
      </c>
      <c r="T19" s="3" t="s">
        <v>929</v>
      </c>
      <c r="U19" s="3" t="s">
        <v>173</v>
      </c>
      <c r="V19" s="3" t="s">
        <v>276</v>
      </c>
      <c r="W19" s="3" t="s">
        <v>277</v>
      </c>
      <c r="X19" s="3" t="s">
        <v>278</v>
      </c>
      <c r="Y19" s="3" t="s">
        <v>279</v>
      </c>
      <c r="Z19" s="3" t="s">
        <v>929</v>
      </c>
    </row>
    <row r="20" spans="1:26" ht="159.5" x14ac:dyDescent="0.35">
      <c r="A20" s="2">
        <v>19</v>
      </c>
      <c r="B20" s="2" t="s">
        <v>75</v>
      </c>
      <c r="C20" s="2" t="s">
        <v>284</v>
      </c>
      <c r="D20" s="2" t="s">
        <v>125</v>
      </c>
      <c r="E20" s="2" t="s">
        <v>57</v>
      </c>
      <c r="F20" s="2" t="s">
        <v>285</v>
      </c>
      <c r="G20" s="2" t="s">
        <v>127</v>
      </c>
      <c r="H20" s="2" t="s">
        <v>1116</v>
      </c>
      <c r="I20" s="2">
        <v>1</v>
      </c>
      <c r="J20" s="2" t="s">
        <v>286</v>
      </c>
      <c r="K20" s="2" t="s">
        <v>287</v>
      </c>
      <c r="L20" s="2" t="s">
        <v>288</v>
      </c>
      <c r="M20" s="2" t="s">
        <v>929</v>
      </c>
      <c r="N20" s="2" t="s">
        <v>929</v>
      </c>
      <c r="O20" s="2" t="s">
        <v>929</v>
      </c>
      <c r="P20" s="2" t="s">
        <v>929</v>
      </c>
      <c r="Q20" s="2" t="s">
        <v>929</v>
      </c>
      <c r="R20" s="2" t="s">
        <v>289</v>
      </c>
      <c r="S20" s="2" t="s">
        <v>290</v>
      </c>
      <c r="T20" s="2" t="s">
        <v>172</v>
      </c>
      <c r="U20" s="2" t="s">
        <v>291</v>
      </c>
      <c r="V20" s="2" t="s">
        <v>292</v>
      </c>
      <c r="W20" s="2" t="s">
        <v>293</v>
      </c>
      <c r="X20" s="2" t="s">
        <v>294</v>
      </c>
      <c r="Y20" s="2" t="s">
        <v>295</v>
      </c>
      <c r="Z20" s="2" t="s">
        <v>929</v>
      </c>
    </row>
    <row r="21" spans="1:26" ht="232" x14ac:dyDescent="0.35">
      <c r="A21" s="3">
        <v>20</v>
      </c>
      <c r="B21" s="3" t="s">
        <v>75</v>
      </c>
      <c r="C21" s="3" t="s">
        <v>284</v>
      </c>
      <c r="D21" s="3" t="s">
        <v>125</v>
      </c>
      <c r="E21" s="3" t="s">
        <v>57</v>
      </c>
      <c r="F21" s="3" t="s">
        <v>285</v>
      </c>
      <c r="G21" s="3" t="s">
        <v>127</v>
      </c>
      <c r="H21" s="3" t="s">
        <v>1116</v>
      </c>
      <c r="I21" s="3">
        <v>2</v>
      </c>
      <c r="J21" s="3" t="s">
        <v>296</v>
      </c>
      <c r="K21" s="3" t="s">
        <v>297</v>
      </c>
      <c r="L21" s="3" t="s">
        <v>298</v>
      </c>
      <c r="M21" s="3" t="s">
        <v>929</v>
      </c>
      <c r="N21" s="3" t="s">
        <v>929</v>
      </c>
      <c r="O21" s="3" t="s">
        <v>929</v>
      </c>
      <c r="P21" s="3" t="s">
        <v>929</v>
      </c>
      <c r="Q21" s="3" t="s">
        <v>929</v>
      </c>
      <c r="R21" s="3" t="s">
        <v>299</v>
      </c>
      <c r="S21" s="3" t="s">
        <v>300</v>
      </c>
      <c r="T21" s="3" t="s">
        <v>172</v>
      </c>
      <c r="U21" s="3" t="s">
        <v>258</v>
      </c>
      <c r="V21" s="3" t="s">
        <v>292</v>
      </c>
      <c r="W21" s="3" t="s">
        <v>293</v>
      </c>
      <c r="X21" s="3" t="s">
        <v>294</v>
      </c>
      <c r="Y21" s="3" t="s">
        <v>295</v>
      </c>
      <c r="Z21" s="3" t="s">
        <v>929</v>
      </c>
    </row>
    <row r="22" spans="1:26" ht="159.5" x14ac:dyDescent="0.35">
      <c r="A22" s="2">
        <v>21</v>
      </c>
      <c r="B22" s="2" t="s">
        <v>81</v>
      </c>
      <c r="C22" s="2" t="s">
        <v>301</v>
      </c>
      <c r="D22" s="2" t="s">
        <v>125</v>
      </c>
      <c r="E22" s="2" t="s">
        <v>57</v>
      </c>
      <c r="F22" s="2" t="s">
        <v>302</v>
      </c>
      <c r="G22" s="2" t="s">
        <v>127</v>
      </c>
      <c r="H22" s="2" t="s">
        <v>1121</v>
      </c>
      <c r="I22" s="2">
        <v>2</v>
      </c>
      <c r="J22" s="2" t="s">
        <v>303</v>
      </c>
      <c r="K22" s="2" t="s">
        <v>304</v>
      </c>
      <c r="L22" s="2" t="s">
        <v>305</v>
      </c>
      <c r="M22" s="2" t="s">
        <v>929</v>
      </c>
      <c r="N22" s="2" t="s">
        <v>929</v>
      </c>
      <c r="O22" s="2" t="s">
        <v>929</v>
      </c>
      <c r="P22" s="2" t="s">
        <v>929</v>
      </c>
      <c r="Q22" s="2" t="s">
        <v>929</v>
      </c>
      <c r="R22" s="2" t="s">
        <v>306</v>
      </c>
      <c r="S22" s="2" t="s">
        <v>307</v>
      </c>
      <c r="T22" s="2" t="s">
        <v>308</v>
      </c>
      <c r="U22" s="2" t="s">
        <v>309</v>
      </c>
      <c r="V22" s="2" t="s">
        <v>929</v>
      </c>
      <c r="W22" s="2" t="s">
        <v>310</v>
      </c>
      <c r="X22" s="2" t="s">
        <v>311</v>
      </c>
      <c r="Y22" s="2" t="s">
        <v>137</v>
      </c>
      <c r="Z22" s="2" t="s">
        <v>929</v>
      </c>
    </row>
    <row r="23" spans="1:26" ht="101.5" x14ac:dyDescent="0.35">
      <c r="A23" s="3">
        <v>22</v>
      </c>
      <c r="B23" s="3" t="s">
        <v>81</v>
      </c>
      <c r="C23" s="3" t="s">
        <v>301</v>
      </c>
      <c r="D23" s="3" t="s">
        <v>125</v>
      </c>
      <c r="E23" s="3" t="s">
        <v>57</v>
      </c>
      <c r="F23" s="3" t="s">
        <v>302</v>
      </c>
      <c r="G23" s="3" t="s">
        <v>127</v>
      </c>
      <c r="H23" s="3" t="s">
        <v>1121</v>
      </c>
      <c r="I23" s="3">
        <v>2</v>
      </c>
      <c r="J23" s="3" t="s">
        <v>312</v>
      </c>
      <c r="K23" s="3" t="s">
        <v>313</v>
      </c>
      <c r="L23" s="3" t="s">
        <v>312</v>
      </c>
      <c r="M23" s="3" t="s">
        <v>929</v>
      </c>
      <c r="N23" s="3" t="s">
        <v>929</v>
      </c>
      <c r="O23" s="3" t="s">
        <v>929</v>
      </c>
      <c r="P23" s="3" t="s">
        <v>929</v>
      </c>
      <c r="Q23" s="3" t="s">
        <v>929</v>
      </c>
      <c r="R23" s="3" t="s">
        <v>314</v>
      </c>
      <c r="S23" s="3" t="s">
        <v>315</v>
      </c>
      <c r="T23" s="3" t="s">
        <v>316</v>
      </c>
      <c r="U23" s="3" t="s">
        <v>250</v>
      </c>
      <c r="V23" s="3" t="s">
        <v>929</v>
      </c>
      <c r="W23" s="3" t="s">
        <v>310</v>
      </c>
      <c r="X23" s="3" t="s">
        <v>311</v>
      </c>
      <c r="Y23" s="3" t="s">
        <v>137</v>
      </c>
      <c r="Z23" s="3" t="s">
        <v>929</v>
      </c>
    </row>
    <row r="24" spans="1:26" ht="409.5" x14ac:dyDescent="0.35">
      <c r="A24" s="2">
        <v>23</v>
      </c>
      <c r="B24" s="2" t="s">
        <v>77</v>
      </c>
      <c r="C24" s="2" t="s">
        <v>317</v>
      </c>
      <c r="D24" s="2" t="s">
        <v>125</v>
      </c>
      <c r="E24" s="2" t="s">
        <v>57</v>
      </c>
      <c r="F24" s="2" t="s">
        <v>318</v>
      </c>
      <c r="G24" s="2" t="s">
        <v>127</v>
      </c>
      <c r="H24" s="2" t="s">
        <v>1125</v>
      </c>
      <c r="I24" s="2">
        <v>1</v>
      </c>
      <c r="J24" s="2" t="s">
        <v>319</v>
      </c>
      <c r="K24" s="2" t="s">
        <v>320</v>
      </c>
      <c r="L24" s="2" t="s">
        <v>321</v>
      </c>
      <c r="M24" s="2" t="s">
        <v>929</v>
      </c>
      <c r="N24" s="2" t="s">
        <v>929</v>
      </c>
      <c r="O24" s="2" t="s">
        <v>929</v>
      </c>
      <c r="P24" s="2" t="s">
        <v>929</v>
      </c>
      <c r="Q24" s="2" t="s">
        <v>929</v>
      </c>
      <c r="R24" s="2" t="s">
        <v>322</v>
      </c>
      <c r="S24" s="2" t="s">
        <v>323</v>
      </c>
      <c r="T24" s="2" t="s">
        <v>929</v>
      </c>
      <c r="U24" s="2" t="s">
        <v>324</v>
      </c>
      <c r="V24" s="2" t="s">
        <v>325</v>
      </c>
      <c r="W24" s="2" t="s">
        <v>326</v>
      </c>
      <c r="X24" s="2" t="s">
        <v>327</v>
      </c>
      <c r="Y24" s="2" t="s">
        <v>328</v>
      </c>
      <c r="Z24" s="2" t="s">
        <v>929</v>
      </c>
    </row>
    <row r="25" spans="1:26" ht="409.5" x14ac:dyDescent="0.35">
      <c r="A25" s="3">
        <v>24</v>
      </c>
      <c r="B25" s="3" t="s">
        <v>77</v>
      </c>
      <c r="C25" s="3" t="s">
        <v>317</v>
      </c>
      <c r="D25" s="3" t="s">
        <v>125</v>
      </c>
      <c r="E25" s="3" t="s">
        <v>57</v>
      </c>
      <c r="F25" s="3" t="s">
        <v>329</v>
      </c>
      <c r="G25" s="3" t="s">
        <v>127</v>
      </c>
      <c r="H25" s="3" t="s">
        <v>1125</v>
      </c>
      <c r="I25" s="3">
        <v>1</v>
      </c>
      <c r="J25" s="3" t="s">
        <v>330</v>
      </c>
      <c r="K25" s="3" t="s">
        <v>331</v>
      </c>
      <c r="L25" s="3" t="s">
        <v>332</v>
      </c>
      <c r="M25" s="3" t="s">
        <v>929</v>
      </c>
      <c r="N25" s="3" t="s">
        <v>929</v>
      </c>
      <c r="O25" s="3" t="s">
        <v>929</v>
      </c>
      <c r="P25" s="3" t="s">
        <v>929</v>
      </c>
      <c r="Q25" s="3" t="s">
        <v>929</v>
      </c>
      <c r="R25" s="3" t="s">
        <v>333</v>
      </c>
      <c r="S25" s="3" t="s">
        <v>334</v>
      </c>
      <c r="T25" s="3" t="s">
        <v>929</v>
      </c>
      <c r="U25" s="3" t="s">
        <v>143</v>
      </c>
      <c r="V25" s="3" t="s">
        <v>335</v>
      </c>
      <c r="W25" s="3" t="s">
        <v>336</v>
      </c>
      <c r="X25" s="3" t="s">
        <v>327</v>
      </c>
      <c r="Y25" s="3" t="s">
        <v>328</v>
      </c>
      <c r="Z25" s="3" t="s">
        <v>929</v>
      </c>
    </row>
    <row r="26" spans="1:26" ht="409.5" x14ac:dyDescent="0.35">
      <c r="A26" s="2">
        <v>25</v>
      </c>
      <c r="B26" s="2" t="s">
        <v>77</v>
      </c>
      <c r="C26" s="2" t="s">
        <v>317</v>
      </c>
      <c r="D26" s="2" t="s">
        <v>125</v>
      </c>
      <c r="E26" s="2" t="s">
        <v>57</v>
      </c>
      <c r="F26" s="2" t="s">
        <v>329</v>
      </c>
      <c r="G26" s="2" t="s">
        <v>127</v>
      </c>
      <c r="H26" s="2" t="s">
        <v>1125</v>
      </c>
      <c r="I26" s="2">
        <v>2</v>
      </c>
      <c r="J26" s="2" t="s">
        <v>337</v>
      </c>
      <c r="K26" s="2" t="s">
        <v>338</v>
      </c>
      <c r="L26" s="2" t="s">
        <v>339</v>
      </c>
      <c r="M26" s="2" t="s">
        <v>929</v>
      </c>
      <c r="N26" s="2" t="s">
        <v>929</v>
      </c>
      <c r="O26" s="2" t="s">
        <v>929</v>
      </c>
      <c r="P26" s="2" t="s">
        <v>929</v>
      </c>
      <c r="Q26" s="2" t="s">
        <v>929</v>
      </c>
      <c r="R26" s="2" t="s">
        <v>340</v>
      </c>
      <c r="S26" s="2" t="s">
        <v>341</v>
      </c>
      <c r="T26" s="2" t="s">
        <v>929</v>
      </c>
      <c r="U26" s="2" t="s">
        <v>324</v>
      </c>
      <c r="V26" s="2" t="s">
        <v>335</v>
      </c>
      <c r="W26" s="2" t="s">
        <v>336</v>
      </c>
      <c r="X26" s="2" t="s">
        <v>327</v>
      </c>
      <c r="Y26" s="2" t="s">
        <v>328</v>
      </c>
      <c r="Z26" s="2" t="s">
        <v>929</v>
      </c>
    </row>
    <row r="27" spans="1:26" ht="406" x14ac:dyDescent="0.35">
      <c r="A27" s="3">
        <v>26</v>
      </c>
      <c r="B27" s="3" t="s">
        <v>83</v>
      </c>
      <c r="C27" s="3" t="s">
        <v>342</v>
      </c>
      <c r="D27" s="3" t="s">
        <v>125</v>
      </c>
      <c r="E27" s="3" t="s">
        <v>57</v>
      </c>
      <c r="F27" s="3" t="s">
        <v>343</v>
      </c>
      <c r="G27" s="3" t="s">
        <v>127</v>
      </c>
      <c r="H27" s="3" t="s">
        <v>1125</v>
      </c>
      <c r="I27" s="3">
        <v>1</v>
      </c>
      <c r="J27" s="3" t="s">
        <v>344</v>
      </c>
      <c r="K27" s="3" t="s">
        <v>345</v>
      </c>
      <c r="L27" s="3" t="s">
        <v>346</v>
      </c>
      <c r="M27" s="3" t="s">
        <v>929</v>
      </c>
      <c r="N27" s="3" t="s">
        <v>929</v>
      </c>
      <c r="O27" s="3" t="s">
        <v>929</v>
      </c>
      <c r="P27" s="3" t="s">
        <v>929</v>
      </c>
      <c r="Q27" s="3" t="s">
        <v>929</v>
      </c>
      <c r="R27" s="3" t="s">
        <v>347</v>
      </c>
      <c r="S27" s="3" t="s">
        <v>348</v>
      </c>
      <c r="T27" s="3" t="s">
        <v>349</v>
      </c>
      <c r="U27" s="3" t="s">
        <v>350</v>
      </c>
      <c r="V27" s="3" t="s">
        <v>929</v>
      </c>
      <c r="W27" s="3" t="s">
        <v>929</v>
      </c>
      <c r="X27" s="3" t="s">
        <v>351</v>
      </c>
      <c r="Y27" s="3" t="s">
        <v>352</v>
      </c>
      <c r="Z27" s="3" t="s">
        <v>929</v>
      </c>
    </row>
    <row r="28" spans="1:26" ht="304.5" x14ac:dyDescent="0.35">
      <c r="A28" s="2">
        <v>27</v>
      </c>
      <c r="B28" s="2" t="s">
        <v>83</v>
      </c>
      <c r="C28" s="2" t="s">
        <v>342</v>
      </c>
      <c r="D28" s="2" t="s">
        <v>125</v>
      </c>
      <c r="E28" s="2" t="s">
        <v>57</v>
      </c>
      <c r="F28" s="2" t="s">
        <v>343</v>
      </c>
      <c r="G28" s="2" t="s">
        <v>127</v>
      </c>
      <c r="H28" s="2" t="s">
        <v>1125</v>
      </c>
      <c r="I28" s="2">
        <v>2</v>
      </c>
      <c r="J28" s="2" t="s">
        <v>353</v>
      </c>
      <c r="K28" s="2" t="s">
        <v>354</v>
      </c>
      <c r="L28" s="2" t="s">
        <v>355</v>
      </c>
      <c r="M28" s="2" t="s">
        <v>929</v>
      </c>
      <c r="N28" s="2" t="s">
        <v>929</v>
      </c>
      <c r="O28" s="2" t="s">
        <v>929</v>
      </c>
      <c r="P28" s="2" t="s">
        <v>929</v>
      </c>
      <c r="Q28" s="2" t="s">
        <v>929</v>
      </c>
      <c r="R28" s="2" t="s">
        <v>356</v>
      </c>
      <c r="S28" s="2" t="s">
        <v>357</v>
      </c>
      <c r="T28" s="2" t="s">
        <v>152</v>
      </c>
      <c r="U28" s="2" t="s">
        <v>358</v>
      </c>
      <c r="V28" s="2" t="s">
        <v>929</v>
      </c>
      <c r="W28" s="2" t="s">
        <v>929</v>
      </c>
      <c r="X28" s="2" t="s">
        <v>351</v>
      </c>
      <c r="Y28" s="2" t="s">
        <v>352</v>
      </c>
      <c r="Z28" s="2" t="s">
        <v>929</v>
      </c>
    </row>
    <row r="29" spans="1:26" ht="217.5" x14ac:dyDescent="0.35">
      <c r="A29" s="3">
        <v>28</v>
      </c>
      <c r="B29" s="3" t="s">
        <v>83</v>
      </c>
      <c r="C29" s="3" t="s">
        <v>342</v>
      </c>
      <c r="D29" s="3" t="s">
        <v>125</v>
      </c>
      <c r="E29" s="3" t="s">
        <v>57</v>
      </c>
      <c r="F29" s="3" t="s">
        <v>343</v>
      </c>
      <c r="G29" s="3" t="s">
        <v>127</v>
      </c>
      <c r="H29" s="3" t="s">
        <v>1125</v>
      </c>
      <c r="I29" s="3">
        <v>3</v>
      </c>
      <c r="J29" s="3" t="s">
        <v>359</v>
      </c>
      <c r="K29" s="3" t="s">
        <v>360</v>
      </c>
      <c r="L29" s="3" t="s">
        <v>361</v>
      </c>
      <c r="M29" s="3" t="s">
        <v>929</v>
      </c>
      <c r="N29" s="3" t="s">
        <v>929</v>
      </c>
      <c r="O29" s="3" t="s">
        <v>929</v>
      </c>
      <c r="P29" s="3" t="s">
        <v>929</v>
      </c>
      <c r="Q29" s="3" t="s">
        <v>929</v>
      </c>
      <c r="R29" s="3" t="s">
        <v>362</v>
      </c>
      <c r="S29" s="3" t="s">
        <v>363</v>
      </c>
      <c r="T29" s="3" t="s">
        <v>364</v>
      </c>
      <c r="U29" s="3" t="s">
        <v>365</v>
      </c>
      <c r="V29" s="3" t="s">
        <v>929</v>
      </c>
      <c r="W29" s="3" t="s">
        <v>929</v>
      </c>
      <c r="X29" s="3" t="s">
        <v>351</v>
      </c>
      <c r="Y29" s="3" t="s">
        <v>352</v>
      </c>
      <c r="Z29" s="3" t="s">
        <v>929</v>
      </c>
    </row>
    <row r="30" spans="1:26" ht="203" x14ac:dyDescent="0.35">
      <c r="A30" s="2">
        <v>29</v>
      </c>
      <c r="B30" s="2" t="s">
        <v>83</v>
      </c>
      <c r="C30" s="2" t="s">
        <v>342</v>
      </c>
      <c r="D30" s="2" t="s">
        <v>125</v>
      </c>
      <c r="E30" s="2" t="s">
        <v>57</v>
      </c>
      <c r="F30" s="2" t="s">
        <v>343</v>
      </c>
      <c r="G30" s="2" t="s">
        <v>127</v>
      </c>
      <c r="H30" s="2" t="s">
        <v>1125</v>
      </c>
      <c r="I30" s="2">
        <v>4</v>
      </c>
      <c r="J30" s="2" t="s">
        <v>366</v>
      </c>
      <c r="K30" s="2" t="s">
        <v>367</v>
      </c>
      <c r="L30" s="2" t="s">
        <v>368</v>
      </c>
      <c r="M30" s="2" t="s">
        <v>929</v>
      </c>
      <c r="N30" s="2" t="s">
        <v>929</v>
      </c>
      <c r="O30" s="2" t="s">
        <v>929</v>
      </c>
      <c r="P30" s="2" t="s">
        <v>929</v>
      </c>
      <c r="Q30" s="2" t="s">
        <v>929</v>
      </c>
      <c r="R30" s="2" t="s">
        <v>369</v>
      </c>
      <c r="S30" s="2" t="s">
        <v>370</v>
      </c>
      <c r="T30" s="2" t="s">
        <v>371</v>
      </c>
      <c r="U30" s="2" t="s">
        <v>324</v>
      </c>
      <c r="V30" s="2" t="s">
        <v>929</v>
      </c>
      <c r="W30" s="2" t="s">
        <v>929</v>
      </c>
      <c r="X30" s="2" t="s">
        <v>351</v>
      </c>
      <c r="Y30" s="2" t="s">
        <v>352</v>
      </c>
      <c r="Z30" s="2" t="s">
        <v>929</v>
      </c>
    </row>
    <row r="31" spans="1:26" ht="188.5" x14ac:dyDescent="0.35">
      <c r="A31" s="3">
        <v>30</v>
      </c>
      <c r="B31" s="3" t="s">
        <v>83</v>
      </c>
      <c r="C31" s="3" t="s">
        <v>342</v>
      </c>
      <c r="D31" s="3" t="s">
        <v>125</v>
      </c>
      <c r="E31" s="3" t="s">
        <v>57</v>
      </c>
      <c r="F31" s="3" t="s">
        <v>343</v>
      </c>
      <c r="G31" s="3" t="s">
        <v>127</v>
      </c>
      <c r="H31" s="3" t="s">
        <v>1125</v>
      </c>
      <c r="I31" s="3">
        <v>5</v>
      </c>
      <c r="J31" s="3" t="s">
        <v>372</v>
      </c>
      <c r="K31" s="3" t="s">
        <v>373</v>
      </c>
      <c r="L31" s="3" t="s">
        <v>374</v>
      </c>
      <c r="M31" s="3" t="s">
        <v>929</v>
      </c>
      <c r="N31" s="3" t="s">
        <v>929</v>
      </c>
      <c r="O31" s="3" t="s">
        <v>929</v>
      </c>
      <c r="P31" s="3" t="s">
        <v>929</v>
      </c>
      <c r="Q31" s="3" t="s">
        <v>929</v>
      </c>
      <c r="R31" s="3" t="s">
        <v>375</v>
      </c>
      <c r="S31" s="3" t="s">
        <v>376</v>
      </c>
      <c r="T31" s="3" t="s">
        <v>377</v>
      </c>
      <c r="U31" s="3" t="s">
        <v>378</v>
      </c>
      <c r="V31" s="3" t="s">
        <v>929</v>
      </c>
      <c r="W31" s="3" t="s">
        <v>929</v>
      </c>
      <c r="X31" s="3" t="s">
        <v>351</v>
      </c>
      <c r="Y31" s="3" t="s">
        <v>352</v>
      </c>
      <c r="Z31" s="3" t="s">
        <v>929</v>
      </c>
    </row>
    <row r="32" spans="1:26" ht="116" x14ac:dyDescent="0.35">
      <c r="A32" s="2">
        <v>31</v>
      </c>
      <c r="B32" s="2" t="s">
        <v>83</v>
      </c>
      <c r="C32" s="2" t="s">
        <v>342</v>
      </c>
      <c r="D32" s="2" t="s">
        <v>125</v>
      </c>
      <c r="E32" s="2" t="s">
        <v>57</v>
      </c>
      <c r="F32" s="2" t="s">
        <v>343</v>
      </c>
      <c r="G32" s="2" t="s">
        <v>127</v>
      </c>
      <c r="H32" s="2" t="s">
        <v>1125</v>
      </c>
      <c r="I32" s="2">
        <v>6</v>
      </c>
      <c r="J32" s="2" t="s">
        <v>379</v>
      </c>
      <c r="K32" s="2" t="s">
        <v>380</v>
      </c>
      <c r="L32" s="2" t="s">
        <v>381</v>
      </c>
      <c r="M32" s="2" t="s">
        <v>929</v>
      </c>
      <c r="N32" s="2" t="s">
        <v>929</v>
      </c>
      <c r="O32" s="2" t="s">
        <v>929</v>
      </c>
      <c r="P32" s="2" t="s">
        <v>929</v>
      </c>
      <c r="Q32" s="2" t="s">
        <v>929</v>
      </c>
      <c r="R32" s="2" t="s">
        <v>382</v>
      </c>
      <c r="S32" s="2" t="s">
        <v>383</v>
      </c>
      <c r="T32" s="2" t="s">
        <v>384</v>
      </c>
      <c r="U32" s="2" t="s">
        <v>173</v>
      </c>
      <c r="V32" s="2" t="s">
        <v>929</v>
      </c>
      <c r="W32" s="2" t="s">
        <v>929</v>
      </c>
      <c r="X32" s="2" t="s">
        <v>351</v>
      </c>
      <c r="Y32" s="2" t="s">
        <v>352</v>
      </c>
      <c r="Z32" s="2" t="s">
        <v>929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00_PORTADA</vt:lpstr>
      <vt:lpstr>01_RESUMEN</vt:lpstr>
      <vt:lpstr>02_MATRIZ_EJECUTIVA</vt:lpstr>
      <vt:lpstr>03_INDICADORES_NORMALIZADOS</vt:lpstr>
      <vt:lpstr>04_CRONOGRAMA_TARGETS</vt:lpstr>
      <vt:lpstr>06_DICCIONARIO</vt:lpstr>
      <vt:lpstr>Programas Vigentes</vt:lpstr>
      <vt:lpstr>Historial Versiones</vt:lpstr>
      <vt:lpstr>Fichas Técnicas</vt:lpstr>
      <vt:lpstr>Targets por Ficha</vt:lpstr>
      <vt:lpstr>Indicadores</vt:lpstr>
      <vt:lpstr>MATRIZ CONSOLIDADA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Diego Meza</cp:lastModifiedBy>
  <dcterms:modified xsi:type="dcterms:W3CDTF">2026-03-30T13:50:10Z</dcterms:modified>
</cp:coreProperties>
</file>