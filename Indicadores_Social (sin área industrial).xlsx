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paracel-my.sharepoint.com/personal/diego_meza_paracel_com_py/Documents/MONITOREO_IMPACTO_SOCIAL_PARACEL/PROGRAMAS_Y_FICHAS_CSS/"/>
    </mc:Choice>
  </mc:AlternateContent>
  <xr:revisionPtr revIDLastSave="0" documentId="8_{29155600-4A6B-4D93-A073-64D78738552F}" xr6:coauthVersionLast="47" xr6:coauthVersionMax="47" xr10:uidLastSave="{00000000-0000-0000-0000-000000000000}"/>
  <bookViews>
    <workbookView xWindow="-28910" yWindow="-2200" windowWidth="29020" windowHeight="15700" activeTab="3" xr2:uid="{00000000-000D-0000-FFFF-FFFF00000000}"/>
  </bookViews>
  <sheets>
    <sheet name="Paracel Social ToC" sheetId="7" r:id="rId1"/>
    <sheet name="Paracel Social ToC (2)" sheetId="8" r:id="rId2"/>
    <sheet name="C&amp;SS" sheetId="10" r:id="rId3"/>
    <sheet name="Hoja2" sheetId="13" r:id="rId4"/>
  </sheets>
  <definedNames>
    <definedName name="_xlnm._FilterDatabase" localSheetId="3" hidden="1">Hoja2!$A$1:$J$313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2" i="13" l="1"/>
  <c r="H92" i="13"/>
  <c r="H91" i="13"/>
  <c r="H90" i="13"/>
  <c r="I89"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tc={D555957C-0834-4810-AB78-0CFBB50A618F}</author>
    <author>tc={5C405329-A3C3-4F12-9056-79AF71152BB5}</author>
    <author>tc={6306D9FC-785A-4AD7-BCC3-09059BDEE1D5}</author>
    <author>tc={33032412-8FA1-4F32-A847-826736B463A4}</author>
    <author>tc={0506AC30-F5E0-4C52-ADB8-F9018AFDF35A}</author>
    <author>tc={E8366B33-014B-4815-B499-94456D4E4E99}</author>
    <author>tc={88FC8231-7154-42E9-AC49-3F9D98BEFDE5}</author>
    <author>tc={2A099345-E13B-45CF-B950-472BFB5E8C9C}</author>
    <author>Osvaldo Gonzalez</author>
    <author>tc={F571D4B5-6FD2-44B1-ACA5-1363F9D68811}</author>
    <author>tc={742685F9-8B92-495E-AA3D-55CA2160E816}</author>
    <author>tc={EFA84B8C-84E7-4D7D-9388-3040E2306538}</author>
    <author>tc={8B138209-BC36-4660-9D52-6B3B7389B456}</author>
    <author>tc={0DE37E36-5EEB-4AE5-901B-8A106E6CB1BF}</author>
    <author>tc={06433816-FC07-4B02-AD7E-82EA2BFAAB63}</author>
    <author>tc={037F0C6E-F097-4AFC-9D34-DC5272D20EE9}</author>
    <author>tc={EEB2D9D2-67D4-4017-B95E-93FEB22C9C48}</author>
    <author>tc={E7DE79C0-394A-43C9-A97A-1D26CAC0C050}</author>
    <author>tc={0AE2B797-F78F-4286-BEEE-6EF330B42EA8}</author>
    <author>tc={2ADF54A8-4D50-4C77-A486-7984B2F4C8D8}</author>
    <author>tc={15ED6FF7-87A7-4683-95DD-9AF1F856E1ED}</author>
    <author>tc={A7B01463-82B6-4059-9D92-299FB497E03C}</author>
    <author>tc={B24A8C25-7B71-4B86-B3AE-B5A642D2D10C}</author>
    <author>tc={B6B89C6E-A849-4C11-B5A5-A5BC19A1DC52}</author>
    <author>tc={7BC0F4E4-9FD6-4AA5-B287-9B47890705F1}</author>
    <author>tc={A8B7D8FF-CE4E-430A-B6DB-DAE074F09390}</author>
    <author>tc={3D65254B-FA35-4C79-8F71-EC013F585254}</author>
    <author>tc={652B655F-5E62-4F6B-9C5B-532A3C00E31E}</author>
    <author>tc={ADA6396F-C9CC-4290-91BA-466FFD18264B}</author>
    <author>tc={0568ED52-A733-44E8-B17C-B623C7B89B9B}</author>
    <author>tc={546DB386-803D-4D61-97C4-AA14CB2FA435}</author>
    <author>tc={EAD7477D-7936-43F8-BA3C-3F3D637ADA44}</author>
    <author>tc={22036613-5A6E-4C8A-80C2-0DDFF1049AB6}</author>
  </authors>
  <commentList>
    <comment ref="I3" authorId="0" shapeId="0" xr:uid="{D555957C-0834-4810-AB78-0CFBB50A618F}">
      <text>
        <t>[Comentario encadenado]
Su versión de Excel le permite leer este comentario encadenado; sin embargo, las ediciones que se apliquen se quitarán si el archivo se abre en una versión más reciente de Excel. Más información: https://go.microsoft.com/fwlink/?linkid=870924
Comentario:
    @Diana Ortigoza Los 53 productores de ACPN corresponden al componenete forestal? 
Respuesta:
    Si Gloria, es Industrial, eliminá nomas.</t>
      </text>
    </comment>
    <comment ref="J3" authorId="1" shapeId="0" xr:uid="{5C405329-A3C3-4F12-9056-79AF71152BB5}">
      <text>
        <t>[Comentario encadenado]
Su versión de Excel le permite leer este comentario encadenado; sin embargo, las ediciones que se apliquen se quitarán si el archivo se abre en una versión más reciente de Excel. Más información: https://go.microsoft.com/fwlink/?linkid=870924
Comentario:
    Paso Horqueta y Concepción tambien serian parte del componente forestal? @Diana Ortigoza 
Respuesta:
    Nos dijeron que sólo tendrían en cuenta 2023, por lo que ahí realizamos el cambio.</t>
      </text>
    </comment>
    <comment ref="J19" authorId="2" shapeId="0" xr:uid="{6306D9FC-785A-4AD7-BCC3-09059BDEE1D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 petit seria forestal? @Diana Ortigoza </t>
      </text>
    </comment>
    <comment ref="J21" authorId="3" shapeId="0" xr:uid="{33032412-8FA1-4F32-A847-826736B463A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 mismo aquí, l petit sería forestal? @Diana Ortigoza </t>
      </text>
    </comment>
    <comment ref="J24" authorId="4" shapeId="0" xr:uid="{0506AC30-F5E0-4C52-ADB8-F9018AFDF35A}">
      <text>
        <t>[Comentario encadenado]
Su versión de Excel le permite leer este comentario encadenado; sin embargo, las ediciones que se apliquen se quitarán si el archivo se abre en una versión más reciente de Excel. Más información: https://go.microsoft.com/fwlink/?linkid=870924
Comentario:
    En el AID del componente forestal?</t>
      </text>
    </comment>
    <comment ref="J48" authorId="5" shapeId="0" xr:uid="{E8366B33-014B-4815-B499-94456D4E4E99}">
      <text>
        <t>[Comentario encadenado]
Su versión de Excel le permite leer este comentario encadenado; sin embargo, las ediciones que se apliquen se quitarán si el archivo se abre en una versión más reciente de Excel. Más información: https://go.microsoft.com/fwlink/?linkid=870924
Comentario:
    El resto de los buzones se encuentran en reparación y serán instalados próximamente</t>
      </text>
    </comment>
    <comment ref="I51" authorId="6" shapeId="0" xr:uid="{88FC8231-7154-42E9-AC49-3F9D98BEFDE5}">
      <text>
        <t>[Comentario encadenado]
Su versión de Excel le permite leer este comentario encadenado; sin embargo, las ediciones que se apliquen se quitarán si el archivo se abre en una versión más reciente de Excel. Más información: https://go.microsoft.com/fwlink/?linkid=870924
Comentario:
    ¿Me podrían dar mas información de que tipo de casos son? 
Respuesta:
    @Diana Ortigoza considerando que algunos informes podrian ser de carácter confidencial, podriamos tener detalles de estos 31 casos como 1) tipo de contacto, 2) categoria de priorización 3) categoría del asunto tratado? 
Estos 31 fueron tratados por el comité o a que corresponderían puntualmente?</t>
      </text>
    </comment>
    <comment ref="I65" authorId="7" shapeId="0" xr:uid="{2A099345-E13B-45CF-B950-472BFB5E8C9C}">
      <text>
        <t>[Comentario encadenado]
Su versión de Excel le permite leer este comentario encadenado; sin embargo, las ediciones que se apliquen se quitarán si el archivo se abre en una versión más reciente de Excel. Más información: https://go.microsoft.com/fwlink/?linkid=870924
Comentario:
    En la planilla anterior estaban aca tambien comunidades del com. Industrial. Pero el numero de personas alcanzadas se mantuvo en 24 en ambos reportes. Eso no vario? O no se discrimina en la base de datos?</t>
      </text>
    </comment>
    <comment ref="I87" authorId="8" shapeId="0" xr:uid="{11735CAC-AA19-4658-AE3C-32CB2AE425CE}">
      <text>
        <r>
          <rPr>
            <sz val="11"/>
            <color theme="1"/>
            <rFont val="Calibri"/>
            <family val="2"/>
            <scheme val="minor"/>
          </rPr>
          <t>Osvaldo Gonzalez:
Reunion + Capacitacion + Visita + Trabajo de campo + Evento
Si se suma el alcance de las intervenciones en infraestructura suma mucho mas</t>
        </r>
      </text>
    </comment>
    <comment ref="G99" authorId="9" shapeId="0" xr:uid="{F571D4B5-6FD2-44B1-ACA5-1363F9D68811}">
      <text>
        <t>[Comentario encadenado]
Su versión de Excel le permite leer este comentario encadenado; sin embargo, las ediciones que se apliquen se quitarán si el archivo se abre en una versión más reciente de Excel. Más información: https://go.microsoft.com/fwlink/?linkid=870924
Comentario:
    Reuniones con el MTESS, SNPP y SENAI</t>
      </text>
    </comment>
    <comment ref="H99" authorId="10" shapeId="0" xr:uid="{742685F9-8B92-495E-AA3D-55CA2160E816}">
      <text>
        <t>[Comentario encadenado]
Su versión de Excel le permite leer este comentario encadenado; sin embargo, las ediciones que se apliquen se quitarán si el archivo se abre en una versión más reciente de Excel. Más información: https://go.microsoft.com/fwlink/?linkid=870924
Comentario:
    Reuniones con el MTESS, SNPP y SENAI</t>
      </text>
    </comment>
    <comment ref="J99" authorId="11" shapeId="0" xr:uid="{EFA84B8C-84E7-4D7D-9388-3040E2306538}">
      <text>
        <t>[Comentario encadenado]
Su versión de Excel le permite leer este comentario encadenado; sin embargo, las ediciones que se apliquen se quitarán si el archivo se abre en una versión más reciente de Excel. Más información: https://go.microsoft.com/fwlink/?linkid=870924
Comentario:
    Con el SNPP para planificación de jornadas de capacitación y certificación</t>
      </text>
    </comment>
    <comment ref="G100" authorId="12" shapeId="0" xr:uid="{8B138209-BC36-4660-9D52-6B3B7389B456}">
      <text>
        <t>[Comentario encadenado]
Su versión de Excel le permite leer este comentario encadenado; sin embargo, las ediciones que se apliquen se quitarán si el archivo se abre en una versión más reciente de Excel. Más información: https://go.microsoft.com/fwlink/?linkid=870924
Comentario:
    Cursos de nivelación y proceso formativo con el SENAI</t>
      </text>
    </comment>
    <comment ref="H100" authorId="13" shapeId="0" xr:uid="{0DE37E36-5EEB-4AE5-901B-8A106E6CB1BF}">
      <text>
        <t>[Comentario encadenado]
Su versión de Excel le permite leer este comentario encadenado; sin embargo, las ediciones que se apliquen se quitarán si el archivo se abre en una versión más reciente de Excel. Más información: https://go.microsoft.com/fwlink/?linkid=870924
Comentario:
    Proceso formativo con el SENAI para futuros operarios de planta de celulosa</t>
      </text>
    </comment>
    <comment ref="I100" authorId="14" shapeId="0" xr:uid="{06433816-FC07-4B02-AD7E-82EA2BFAAB63}">
      <text>
        <t>[Comentario encadenado]
Su versión de Excel le permite leer este comentario encadenado; sin embargo, las ediciones que se apliquen se quitarán si el archivo se abre en una versión más reciente de Excel. Más información: https://go.microsoft.com/fwlink/?linkid=870924
Comentario:
    Jornadas de certificación (2) y capacitación (1)</t>
      </text>
    </comment>
    <comment ref="G103" authorId="15" shapeId="0" xr:uid="{037F0C6E-F097-4AFC-9D34-DC5272D20EE9}">
      <text>
        <t>[Comentario encadenado]
Su versión de Excel le permite leer este comentario encadenado; sin embargo, las ediciones que se apliquen se quitarán si el archivo se abre en una versión más reciente de Excel. Más información: https://go.microsoft.com/fwlink/?linkid=870924
Comentario:
    Nivelación + Operario de Planta de Celulosa</t>
      </text>
    </comment>
    <comment ref="H103" authorId="16" shapeId="0" xr:uid="{EEB2D9D2-67D4-4017-B95E-93FEB22C9C48}">
      <text>
        <t>[Comentario encadenado]
Su versión de Excel le permite leer este comentario encadenado; sin embargo, las ediciones que se apliquen se quitarán si el archivo se abre en una versión más reciente de Excel. Más información: https://go.microsoft.com/fwlink/?linkid=870924
Comentario:
    Operario de planta de celulosa</t>
      </text>
    </comment>
    <comment ref="J103" authorId="17" shapeId="0" xr:uid="{E7DE79C0-394A-43C9-A97A-1D26CAC0C050}">
      <text>
        <t>[Comentario encadenado]
Su versión de Excel le permite leer este comentario encadenado; sin embargo, las ediciones que se apliquen se quitarán si el archivo se abre en una versión más reciente de Excel. Más información: https://go.microsoft.com/fwlink/?linkid=870924
Comentario:
    En alianza con el SNPP</t>
      </text>
    </comment>
    <comment ref="G104" authorId="18" shapeId="0" xr:uid="{0AE2B797-F78F-4286-BEEE-6EF330B42EA8}">
      <text>
        <t>[Comentario encadenado]
Su versión de Excel le permite leer este comentario encadenado; sin embargo, las ediciones que se apliquen se quitarán si el archivo se abre en una versión más reciente de Excel. Más información: https://go.microsoft.com/fwlink/?linkid=870924
Comentario:
    Proceso formativo con el MTESS-SENAI</t>
      </text>
    </comment>
    <comment ref="H104" authorId="19" shapeId="0" xr:uid="{2ADF54A8-4D50-4C77-A486-7984B2F4C8D8}">
      <text>
        <t>[Comentario encadenado]
Su versión de Excel le permite leer este comentario encadenado; sin embargo, las ediciones que se apliquen se quitarán si el archivo se abre en una versión más reciente de Excel. Más información: https://go.microsoft.com/fwlink/?linkid=870924
Comentario:
    Proceso formativo con el MTESS-SENAI
Jornadas de certificación con el SNPP</t>
      </text>
    </comment>
    <comment ref="I104" authorId="20" shapeId="0" xr:uid="{15ED6FF7-87A7-4683-95DD-9AF1F856E1ED}">
      <text>
        <t>[Comentario encadenado]
Su versión de Excel le permite leer este comentario encadenado; sin embargo, las ediciones que se apliquen se quitarán si el archivo se abre en una versión más reciente de Excel. Más información: https://go.microsoft.com/fwlink/?linkid=870924
Comentario:
    Esto tambien seria en el comp. Forestal?</t>
      </text>
    </comment>
    <comment ref="I122" authorId="21" shapeId="0" xr:uid="{A7B01463-82B6-4059-9D92-299FB497E03C}">
      <text>
        <t>[Comentario encadenado]
Su versión de Excel le permite leer este comentario encadenado; sin embargo, las ediciones que se apliquen se quitarán si el archivo se abre en una versión más reciente de Excel. Más información: https://go.microsoft.com/fwlink/?linkid=870924
Comentario:
    Sustentabilidad Social y criterios sociales puntuados en auditorías a contratistas forestales</t>
      </text>
    </comment>
    <comment ref="I130" authorId="22" shapeId="0" xr:uid="{B24A8C25-7B71-4B86-B3AE-B5A642D2D10C}">
      <text>
        <t>[Comentario encadenado]
Su versión de Excel le permite leer este comentario encadenado; sin embargo, las ediciones que se apliquen se quitarán si el archivo se abre en una versión más reciente de Excel. Más información: https://go.microsoft.com/fwlink/?linkid=870924
Comentario:
    Del área AMB</t>
      </text>
    </comment>
    <comment ref="J130" authorId="23" shapeId="0" xr:uid="{B6B89C6E-A849-4C11-B5A5-A5BC19A1DC52}">
      <text>
        <t>[Comentario encadenado]
Su versión de Excel le permite leer este comentario encadenado; sin embargo, las ediciones que se apliquen se quitarán si el archivo se abre en una versión más reciente de Excel. Más información: https://go.microsoft.com/fwlink/?linkid=870924
Comentario:
    Del área AMB</t>
      </text>
    </comment>
    <comment ref="I136" authorId="24" shapeId="0" xr:uid="{7BC0F4E4-9FD6-4AA5-B287-9B47890705F1}">
      <text>
        <t>[Comentario encadenado]
Su versión de Excel le permite leer este comentario encadenado; sin embargo, las ediciones que se apliquen se quitarán si el archivo se abre en una versión más reciente de Excel. Más información: https://go.microsoft.com/fwlink/?linkid=870924
Comentario:
    Quedan los numeros solo del comp. Forestal? teniamos identificado en la planilla anterior que incluia el componente industrial. Pero los numeros no variaron</t>
      </text>
    </comment>
    <comment ref="G142" authorId="25" shapeId="0" xr:uid="{A8B7D8FF-CE4E-430A-B6DB-DAE074F09390}">
      <text>
        <t>[Comentario encadenado]
Su versión de Excel le permite leer este comentario encadenado; sin embargo, las ediciones que se apliquen se quitarán si el archivo se abre en una versión más reciente de Excel. Más información: https://go.microsoft.com/fwlink/?linkid=870924
Comentario:
    Capacitación sobre arqueología preventiva con la SNC</t>
      </text>
    </comment>
    <comment ref="I169" authorId="26" shapeId="0" xr:uid="{3D65254B-FA35-4C79-8F71-EC013F585254}">
      <text>
        <t>[Comentario encadenado]
Su versión de Excel le permite leer este comentario encadenado; sin embargo, las ediciones que se apliquen se quitarán si el archivo se abre en una versión más reciente de Excel. Más información: https://go.microsoft.com/fwlink/?linkid=870924
Comentario:
    Concepcion centro tampoco seria forestal vd? Serian 3 comunidades nada mas. Esas 300 personas no se pueden discriminar para dejar solo las de comunidad forestal?</t>
      </text>
    </comment>
    <comment ref="J169" authorId="27" shapeId="0" xr:uid="{652B655F-5E62-4F6B-9C5B-532A3C00E31E}">
      <text>
        <t>[Comentario encadenado]
Su versión de Excel le permite leer este comentario encadenado; sin embargo, las ediciones que se apliquen se quitarán si el archivo se abre en una versión más reciente de Excel. Más información: https://go.microsoft.com/fwlink/?linkid=870924
Comentario:
    “Anteriores:  Centro de la ciudad, Paso Barreto, Redención, Ko´e Pora, Vy´a Renda, Anderi.
Nuevas comunidades a incorporar: Agrandar la muestra en la Ciudad de Concepción y las demás serán: Piquete Cue, Laguna Plato, Pyrenda, Hugua Ñandú y Takuarita
“</t>
      </text>
    </comment>
    <comment ref="I180" authorId="28" shapeId="0" xr:uid="{ADA6396F-C9CC-4290-91BA-466FFD18264B}">
      <text>
        <t>[Comentario encadenado]
Su versión de Excel le permite leer este comentario encadenado; sin embargo, las ediciones que se apliquen se quitarán si el archivo se abre en una versión más reciente de Excel. Más información: https://go.microsoft.com/fwlink/?linkid=870924
Comentario:
    Para confirmar, estas tambien habrian sido con comunidades/mujeres de las comunidades del comp forestal?</t>
      </text>
    </comment>
    <comment ref="G193" authorId="29" shapeId="0" xr:uid="{0568ED52-A733-44E8-B17C-B623C7B89B9B}">
      <text>
        <t>[Comentario encadenado]
Su versión de Excel le permite leer este comentario encadenado; sin embargo, las ediciones que se apliquen se quitarán si el archivo se abre en una versión más reciente de Excel. Más información: https://go.microsoft.com/fwlink/?linkid=870924
Comentario:
    Capacitaciones en temas relacionados a la Seguridad Vial y Primeros Auxilios, exclusivamente.</t>
      </text>
    </comment>
    <comment ref="H193" authorId="30" shapeId="0" xr:uid="{546DB386-803D-4D61-97C4-AA14CB2FA435}">
      <text>
        <t>[Comentario encadenado]
Su versión de Excel le permite leer este comentario encadenado; sin embargo, las ediciones que se apliquen se quitarán si el archivo se abre en una versión más reciente de Excel. Más información: https://go.microsoft.com/fwlink/?linkid=870924
Comentario:
    Capacitaciones en temas relacionados a la Seguridad Vial y Primeros Auxilios, exclusivamente.</t>
      </text>
    </comment>
    <comment ref="I193" authorId="31" shapeId="0" xr:uid="{EAD7477D-7936-43F8-BA3C-3F3D637ADA44}">
      <text>
        <t>[Comentario encadenado]
Su versión de Excel le permite leer este comentario encadenado; sin embargo, las ediciones que se apliquen se quitarán si el archivo se abre en una versión más reciente de Excel. Más información: https://go.microsoft.com/fwlink/?linkid=870924
Comentario:
    Capacitaciones en temas relacionados a la Seguridad Vial y Primeros Auxilios, exclusivamente.</t>
      </text>
    </comment>
    <comment ref="I214" authorId="32" shapeId="0" xr:uid="{22036613-5A6E-4C8A-80C2-0DDFF1049AB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Dejamos en 2? Hugua ñandu y paso barreto? </t>
      </text>
    </comment>
  </commentList>
</comments>
</file>

<file path=xl/sharedStrings.xml><?xml version="1.0" encoding="utf-8"?>
<sst xmlns="http://schemas.openxmlformats.org/spreadsheetml/2006/main" count="4119" uniqueCount="1667">
  <si>
    <t>Social Impact Assessment Tool</t>
  </si>
  <si>
    <r>
      <t xml:space="preserve">Social Theory of Change: Livelihood Improvement  - Paracel 
</t>
    </r>
    <r>
      <rPr>
        <b/>
        <u/>
        <sz val="12"/>
        <color theme="3" tint="-0.249977111117893"/>
        <rFont val="Helvetica Light"/>
      </rPr>
      <t>Vision for Change</t>
    </r>
    <r>
      <rPr>
        <b/>
        <sz val="12"/>
        <color theme="3" tint="-0.249977111117893"/>
        <rFont val="Helvetica Light"/>
      </rPr>
      <t xml:space="preserve">:  Transparent Communication &amp; Monitoring / Increased Employment &amp; Economic Participation / Enhanced Social Wellbeing </t>
    </r>
    <r>
      <rPr>
        <b/>
        <sz val="14"/>
        <color theme="3" tint="-0.249977111117893"/>
        <rFont val="Helvetica Light"/>
      </rPr>
      <t xml:space="preserve">                                                                                                                                                                                                                                                                                                                                                                              </t>
    </r>
  </si>
  <si>
    <t>High Level Social Summary Paper:  Relationship Plan with  Social Society and other Social Actors, PL-SS-ASO</t>
  </si>
  <si>
    <t xml:space="preserve"> </t>
  </si>
  <si>
    <t xml:space="preserve"> 2021-  2022</t>
  </si>
  <si>
    <t xml:space="preserve"> 2023 -  2024</t>
  </si>
  <si>
    <t xml:space="preserve"> 2025 - 2026</t>
  </si>
  <si>
    <t xml:space="preserve"> 2027  onwards</t>
  </si>
  <si>
    <t>Activities (Programs)/Interventions</t>
  </si>
  <si>
    <t>Output/Indicators (see indicators in program sheet)</t>
  </si>
  <si>
    <t>Outcome (short-term)</t>
  </si>
  <si>
    <t>Outcome (medium-term)</t>
  </si>
  <si>
    <t>Outcome (long-term)</t>
  </si>
  <si>
    <t>Impact</t>
  </si>
  <si>
    <t>ToC Vision Statement</t>
  </si>
  <si>
    <t>Baseline</t>
  </si>
  <si>
    <t>Material de seporte Baseline</t>
  </si>
  <si>
    <t>Material de soporte 2023</t>
  </si>
  <si>
    <r>
      <rPr>
        <sz val="11"/>
        <color theme="1"/>
        <rFont val="Calibri"/>
        <family val="2"/>
        <scheme val="minor"/>
      </rPr>
      <t>COMMUNITY RELATIONSHIP:</t>
    </r>
    <r>
      <rPr>
        <b/>
        <sz val="11"/>
        <color theme="1"/>
        <rFont val="Calibri"/>
        <family val="2"/>
        <scheme val="minor"/>
      </rPr>
      <t xml:space="preserve"> SOCIAL RISK MANAGEMENT</t>
    </r>
  </si>
  <si>
    <t xml:space="preserve">Dessimination &amp; Communication </t>
  </si>
  <si>
    <t>PR/SS/DCO - Programa de Difusión y Comunicación</t>
  </si>
  <si>
    <t>Estrategia de seguimiento y comunicación con comunidades indígenas.</t>
  </si>
  <si>
    <t>[N° de participantes</t>
  </si>
  <si>
    <r>
      <rPr>
        <b/>
        <sz val="11"/>
        <color theme="1"/>
        <rFont val="Calibri"/>
        <family val="2"/>
        <scheme val="minor"/>
      </rPr>
      <t>Suficiente información con relación a todo el proceso del proyecto</t>
    </r>
    <r>
      <rPr>
        <sz val="11"/>
        <color theme="1"/>
        <rFont val="Calibri"/>
        <family val="2"/>
        <scheme val="minor"/>
      </rPr>
      <t xml:space="preserve"> divulgado a todas las personas afectadas dentro de las comunidades indígenas a travès de reuniones bimestrales, conservatorios, talleres, distribución de folletos, etc.</t>
    </r>
  </si>
  <si>
    <r>
      <t>Información sobre l</t>
    </r>
    <r>
      <rPr>
        <b/>
        <sz val="11"/>
        <color theme="1"/>
        <rFont val="Calibri"/>
        <family val="2"/>
        <scheme val="minor"/>
      </rPr>
      <t>os avances del proyecto</t>
    </r>
    <r>
      <rPr>
        <sz val="11"/>
        <color theme="1"/>
        <rFont val="Calibri"/>
        <family val="2"/>
        <scheme val="minor"/>
      </rPr>
      <t xml:space="preserve"> divulgado a todas las personas afectadas dentro de las comunidades indígenas.</t>
    </r>
  </si>
  <si>
    <t>Información sobre los avances del proyecto divulgado a todas las personas afectadas dentro de las comunidades indígenas.</t>
  </si>
  <si>
    <t xml:space="preserve">Comunicación constante y oportuna con las comunidades indígenas y las comunidades residentes en las áreas de influencia del proyecto mantenida y garantizada mediante la entrega de información clara y pertinente sobre el proyecto. </t>
  </si>
  <si>
    <t>N° de Reuniones]</t>
  </si>
  <si>
    <t>Nº de reuniones</t>
  </si>
  <si>
    <t xml:space="preserve">Diálogo formal con los líderes en todas las comunidades indígenas iniciado. </t>
  </si>
  <si>
    <t xml:space="preserve">Diálogo formal con todos los líderes en todas las comunidades indígenas efectuado. </t>
  </si>
  <si>
    <t>Diálogo formal con todos los líderes en todas las comunidades indígenas aprofundizado.</t>
  </si>
  <si>
    <t>N° de materiales audiovisuales</t>
  </si>
  <si>
    <r>
      <t xml:space="preserve">Materiales audiovisuales elaboradas difundidas en todas las comunidades indígenas </t>
    </r>
    <r>
      <rPr>
        <b/>
        <sz val="11"/>
        <color theme="1"/>
        <rFont val="Calibri"/>
        <family val="2"/>
        <scheme val="minor"/>
      </rPr>
      <t>sobre las acciones planificadas</t>
    </r>
    <r>
      <rPr>
        <sz val="11"/>
        <color theme="1"/>
        <rFont val="Calibri"/>
        <family val="2"/>
        <scheme val="minor"/>
      </rPr>
      <t>.</t>
    </r>
  </si>
  <si>
    <r>
      <t xml:space="preserve">Materiales audiovisuales difundidas en todas las comunidades indígenas </t>
    </r>
    <r>
      <rPr>
        <b/>
        <sz val="11"/>
        <color theme="1"/>
        <rFont val="Calibri"/>
        <family val="2"/>
        <scheme val="minor"/>
      </rPr>
      <t>sobre el progreso de las actividades</t>
    </r>
    <r>
      <rPr>
        <sz val="11"/>
        <color theme="1"/>
        <rFont val="Calibri"/>
        <family val="2"/>
        <scheme val="minor"/>
      </rPr>
      <t>.</t>
    </r>
  </si>
  <si>
    <t>Materiales audiovisuales difundidas en todas las comunidades indígenas sobre el progreso de las actividades.</t>
  </si>
  <si>
    <t>N° de actividades desarrolladas</t>
  </si>
  <si>
    <r>
      <t xml:space="preserve">Actividades específicas para el fortalecimiento de vínculos entre el Comité de monitoreo y Comunicación y los miembros </t>
    </r>
    <r>
      <rPr>
        <b/>
        <sz val="11"/>
        <color theme="1"/>
        <rFont val="Calibri"/>
        <family val="2"/>
        <scheme val="minor"/>
      </rPr>
      <t>conceptuaiizadas conforme a un plan de trabajo</t>
    </r>
    <r>
      <rPr>
        <sz val="11"/>
        <color theme="1"/>
        <rFont val="Calibri"/>
        <family val="2"/>
        <scheme val="minor"/>
      </rPr>
      <t>.</t>
    </r>
  </si>
  <si>
    <t>Actividades específicas para el fortalecimiento de vínculos entre el Comité de monitoreo y Comunicación y los miembros desarrolladas conforme a un plan de trabajo en todas las comuinidades indígenas.</t>
  </si>
  <si>
    <t>Vínculos entre el Comité de monitoreo y Comunicación y los miembros aprofundizados.</t>
  </si>
  <si>
    <t>N° de visitas casa por casa</t>
  </si>
  <si>
    <t>Visitas personalizadas casa por casa y reuniones con actores claves dentro de las comunidades indígenas del ADA iniciadas.</t>
  </si>
  <si>
    <t>Visitas personalizadas efectuadas dentro de las comunidades indígenas del ADA alcanzan a todos los hogares.</t>
  </si>
  <si>
    <t>[N° de personas visitadas]</t>
  </si>
  <si>
    <t>N° de personas atendidas</t>
  </si>
  <si>
    <t>Oficinas en áreas de influencia del proyecto para la atención directa de la comunidad instaladas.</t>
  </si>
  <si>
    <t>Atención directa de la comunidad iniciada en la oficinas establecidas en el ADA y N° de personas atendidas registrado.</t>
  </si>
  <si>
    <t xml:space="preserve">Atención directa de la comunidad iniciada en la oficinas establecidas en el ADA efectuado de forma permanente y registrado.  </t>
  </si>
  <si>
    <t>Confección y colación de cartelería y señalización en zonas de obra.</t>
  </si>
  <si>
    <t>Cantidad y tipo de señalética</t>
  </si>
  <si>
    <t>Relevamiento sobre la cantidad y tipos de cartelería y señalética necesaria [(zona de obra)] realizada.</t>
  </si>
  <si>
    <t>Relevamiento sobre la cantidad y tipos de cartelería y señalética necesaria repetido.</t>
  </si>
  <si>
    <t>N° de carteles y señaléticas</t>
  </si>
  <si>
    <t>Cartelerías y señaléticas [(zona de obra)] colocadas.</t>
  </si>
  <si>
    <t>Colocación de cartelerías y señaléticas identificadas durante el segundo relevamiento.</t>
  </si>
  <si>
    <t>N° de personas capacitadas</t>
  </si>
  <si>
    <t>Talleres de capacitación para proveer información específica y relevante en relación con la obra y las señaléticas iniciadas.</t>
  </si>
  <si>
    <t>Talleres de capacitación para proveer información específica y relevante en relación con la obra y las señaléticas efectuados a la mayoria de los pobladores del AID y ADA y comunidades indígenas.</t>
  </si>
  <si>
    <t>Talleres de capacitación para proveer información específica y relevante en relación con la obra y las señaléticas efectuados a todos los pobladores del AID y ADA y a todas las comunidades indígenas.</t>
  </si>
  <si>
    <t>N° de actividades de formación realizadas</t>
  </si>
  <si>
    <t>N° de controles realizados</t>
  </si>
  <si>
    <t>Supervisión de la instalación de carteles de obra informativos durante la etapa de construcción iniciada.</t>
  </si>
  <si>
    <t>Todos carteles de obra informativos durante la etapa de constucción instalados supervisados.</t>
  </si>
  <si>
    <t xml:space="preserve">Proveer información pertinente a la población sobre las etapas del proyecto, temas sociales, ambientales, de salud y seguridad laboral, entre otros.  </t>
  </si>
  <si>
    <t>[N° de revisiones]</t>
  </si>
  <si>
    <t>Plan de comunicación revisado y posiblemente adaptado.</t>
  </si>
  <si>
    <t>Posibles adaptaciones efectuadas en base a la revisión del plan de comunicación.</t>
  </si>
  <si>
    <t>[N° de Audiovisuales]</t>
  </si>
  <si>
    <t>Material audiovisual informativo elaborado.</t>
  </si>
  <si>
    <t>Suficiente material audiovisual informativo proveído a la población afectada.</t>
  </si>
  <si>
    <t>Suficiente material audiovisual informativo sobre los avances del proyecto proveído a la población afectada.</t>
  </si>
  <si>
    <t>Frecuencia /Alcance de publicaciones</t>
  </si>
  <si>
    <t>Estrategias digitales en las redes sociales desarrolladas.</t>
  </si>
  <si>
    <t>Divulgación mediante las estrategias digitales iniciada.</t>
  </si>
  <si>
    <t>Frecuencia y alcance de publicaciones a travès de las redes sociales optimizado.</t>
  </si>
  <si>
    <t>[Cantidad de medios]</t>
  </si>
  <si>
    <t>Plan de medios (prensa locales) desarrollado.</t>
  </si>
  <si>
    <t>Divulgación mediante los medios de prensa locales iniciada.</t>
  </si>
  <si>
    <t>Mayor cantidad de medios locales alcanzada.</t>
  </si>
  <si>
    <t>[N° de ejemplares compartidos]</t>
  </si>
  <si>
    <t>Reportes de Sostenibilidad de Paracel en base a la metodología GRI elaborados y entrega registrada.</t>
  </si>
  <si>
    <t>Reportes de Sostenibilidad de Paracel en base a la metodología GRI elaborados y compartidos a través del mayor número de ejemplares con registro de entrega disponible.</t>
  </si>
  <si>
    <t>N° de personas alcanzadas</t>
  </si>
  <si>
    <t>Material audiovisual sobre el Reporte de Sostenibilidad de Paracel desarrollado y divulgada al mayor número de personas.</t>
  </si>
  <si>
    <t>Relationship with indigenous communities</t>
  </si>
  <si>
    <t>PR/SS/RPI - Programa de Relacionamiento con Comunidades Indígenas</t>
  </si>
  <si>
    <t xml:space="preserve"> Identificación de comunidades indígenas dentro del AID.</t>
  </si>
  <si>
    <t>Nº de instituciones contratadas</t>
  </si>
  <si>
    <t>Número suficiente de organizaciónes con experiencia con comunidades indígenas para prestar servicios de intermediación interinstitucional y la realización de actividades para el cumplimiento del Decreto 1039/18 y de normativas internacionales como la IFC y CCB contratadas.</t>
  </si>
  <si>
    <t>Continuación de prestación de servicios de intermediación interinstitucional y la realización de actividades para el cumplimiento del Decreto 1039/18 y de normativas internacionales como la IFC y CCB contratadas pot intermedio de un número suficiente de organizaciónes con experiencia con comunidades indígenas.</t>
  </si>
  <si>
    <t xml:space="preserve"> Continuación de prestación de servicios de intermediación interinstitucional y la realización de actividades para el cumplimiento del Decreto 1039/18 y de normativas internacionales como la IFC y CCB contratadas pot intermedio de un número suficiente de organizaciónes con experiencia con comunidades indígenas.</t>
  </si>
  <si>
    <t>La vinculación con las comunidades indígenas conlleva a la formulación de políticas y programas adecuadas para exitosamente evaluar y gerar los riesgos y impactos sociales asociados con el proyecto.</t>
  </si>
  <si>
    <t>Nº de comunidades, grupos comunales indígenas identificadas.</t>
  </si>
  <si>
    <t>Mapeo de comunidades y grupos comunales indígenas efectuado.</t>
  </si>
  <si>
    <t>Cumplimiento del Decreto 1039/18 y de normativas internacionales como la IFC y CCB  alcanzado.</t>
  </si>
  <si>
    <t>Vinculación formal con comunidades indígenas, en el marco del cumplimiento del Decreto 1039/18 y el respeto de los Derechos de los Pueblos Indígenas.</t>
  </si>
  <si>
    <t>[Nº de reuniones]</t>
  </si>
  <si>
    <t>Vinculación con todas comunidades indígenas en el marco del cumlimiento del Decreto 1039/18 y el Derecho de los Pueblos Indígenas formalizada y obtención de Actas de Permiso conforme al proceso de “Consulta y Consentimiento, Libre, Previo e Informado” (CCLPI) del Decreto 1039/18 para la implementación de nuevos proyectos .</t>
  </si>
  <si>
    <t>Asambleas sobre el avance del proyecto y programas socioambientales efectuadas.</t>
  </si>
  <si>
    <t>Vinculación con las comunidades indígenas en todas las etapas del proyecto para informar sobre los avances de los proyectos socioambientales y previo a la implementación de nuevos proyectos.</t>
  </si>
  <si>
    <t>Nº de encuentros de socialización</t>
  </si>
  <si>
    <t>Encuentros de socialización sobre los avances del proyecto y los programas socioambientales efectuados.</t>
  </si>
  <si>
    <t>Nº de Actas de Permisos a la CCLPI</t>
  </si>
  <si>
    <t>Cumplimiento con el proceso CCLPI para la implementación de nuevos proyectos</t>
  </si>
  <si>
    <t>[Revisión de la línea base para el trabajo conjunto con comunidades indígenas]</t>
  </si>
  <si>
    <t>Nº de encuestas realizadas</t>
  </si>
  <si>
    <t>Línea base revisada à través de muestra representativa en todas las comunidades indígenas.</t>
  </si>
  <si>
    <t>Línea base revisada y, si necesario, actualizada à través de muestra representativa en todas las comunidades indígenas.</t>
  </si>
  <si>
    <t>Linea de base, políticas y programas regularmente actualizadas.</t>
  </si>
  <si>
    <t>N° de personas censadas</t>
  </si>
  <si>
    <t>Establecimiento de políticas y buenas prácticas de relacionamiento con comunidades indígenas para asegurar el respeto a la dignidad, cultura y modos de vida de los Pueblos Indígenas</t>
  </si>
  <si>
    <t xml:space="preserve">[N° de cambios] </t>
  </si>
  <si>
    <t>Políticas y buenas prácticas de relacionamiento con comunidades indígenas para asegurar el respeto a la dignidad, cultura y modos de vida de los Pueblos Indígenas establecidas.</t>
  </si>
  <si>
    <t>Políticas y buenas prácticas de relacionamiento con comunidades indígenas para asegurar el respeto a la dignidad, cultura y modos de vida de los Pueblos Indígenas revisadas.</t>
  </si>
  <si>
    <t xml:space="preserve">Implementación de programas en base a la identificación y sistematización de impactos y riesgos. </t>
  </si>
  <si>
    <t>[N° de acciones ejecutadas</t>
  </si>
  <si>
    <t>Programas sociales basados en el Plan de Pueblos Indígenas operacionalizadas.</t>
  </si>
  <si>
    <t>Programas sociales basados en el Plan de Pueblos Indígenas continúamente operacionalizadas.</t>
  </si>
  <si>
    <t>Manejo de riesgos y impactos efectivemente manejados.</t>
  </si>
  <si>
    <t>N° de personas alcanzadas]</t>
  </si>
  <si>
    <t>N° de reuniones desarrolladas</t>
  </si>
  <si>
    <t>Reuniones semestrales de seguimiento de trabajo conjunto con el Instituto Paraguayo del Indígena (INDI).</t>
  </si>
  <si>
    <t>Ritmo semestral de reuniones de seguimiento de trabajo conjunto con el Instituto Paraguayo del Indígena (INDI) manenido.</t>
  </si>
  <si>
    <t>Internal Management of land affection and risk from external agents</t>
  </si>
  <si>
    <t>PR/SS/AAE - Programa de Manejo Interno por Afectación de Tierras y Riesgos por Agentes Externos</t>
  </si>
  <si>
    <t>Desarrollo de protocolo de servidumbre de paso.</t>
  </si>
  <si>
    <t>N° de propiedades a ser utilizadas como servidumbre de paso</t>
  </si>
  <si>
    <t>Mapeo de las propiedades utilizadas como acceso y salida (componente forestal e indígena).</t>
  </si>
  <si>
    <t>Servidumbre de paso alcanzado en todas propiedades utilizadas como acceso y salida.</t>
  </si>
  <si>
    <t>Servidumbre de paso garantizado a las parcelas forestales Paracel y estancias vecinas a seren utilizadas como acceso y salida.</t>
  </si>
  <si>
    <t>Conflictos con propietarios de inmuebles utilizados como servidumbre de paso a las parcelas forestales Paracel y estancias vecinas prevenidos mediante protocolos internos que garantizan la seguridad del personal de Paracel y de la población indígena.</t>
  </si>
  <si>
    <t>N° de documentos elaborados</t>
  </si>
  <si>
    <t>Documentos para la firma de acuerdos de servidumbre de paso elaborados.</t>
  </si>
  <si>
    <t>Acuerdo de Servidumbre de Paso con todos los propietarios de los inmuebles a seren utilizados como acceso y salida firmado.</t>
  </si>
  <si>
    <t>[N° de comunicados elaborados]</t>
  </si>
  <si>
    <t>Comunicado emitido que se respete el derecho de los pueblos indígenas para ingresar/salir de sus comunidades libremente y hacer uso de los caminos internos de la empresa.</t>
  </si>
  <si>
    <t>N° de Reuniones</t>
  </si>
  <si>
    <t>Reuniones de seguimiento realizadas para garantizar el acceso a las propiedades de Paracel a los miembros de las comunidades indígenas.</t>
  </si>
  <si>
    <t>Acesso garantizado a todas las propiedades vecinas a los miembros de las comunidades indígenas.</t>
  </si>
  <si>
    <t>N° de acuerdos firmados</t>
  </si>
  <si>
    <t>Acuerdo de Servidumbre de Paso con todos los propietarios de los inmuebles a ser utilizados como acceso y salida firmado.</t>
  </si>
  <si>
    <t>N° de reuniones de seguimiento</t>
  </si>
  <si>
    <t>Reuniones de seguimiento realizadas para garantizar el acceso a las propiedades vecinas a los miembros de las comunidades indígenas.</t>
  </si>
  <si>
    <t xml:space="preserve">Establecer una Política de Seguridad de Paracel. </t>
  </si>
  <si>
    <t>[N° de cambios]</t>
  </si>
  <si>
    <t>Política de Gestión de Seguridad Corporativa establecida.</t>
  </si>
  <si>
    <t>Política de Gestión de Seguridad Corporativa revisada.</t>
  </si>
  <si>
    <t>N° de actividades de socialización</t>
  </si>
  <si>
    <t>Política de Gestión de Seguridad Corporativa socializada con proveedores.</t>
  </si>
  <si>
    <t>Política de Gestión de Seguridad Corporativa revisada socializada con proveedores.</t>
  </si>
  <si>
    <t>[N° de registros recibidos]</t>
  </si>
  <si>
    <t>Registros de entrenamiento en temas de Derechos Humanos destinado a sus colaboradores solicitados por los proveedores de seguridad.</t>
  </si>
  <si>
    <t>Registros de entrenamiento en temas de Derechos Humanos destinado a sus colaboradores disponibilizados por los proveedores de seguridad.</t>
  </si>
  <si>
    <t xml:space="preserve">Atender las posibles compensaciones que deban darse a las propiedades, en coordinación con la ANDE, en relación a la franja de seguridad vinculada a la construcción de la línea de transmisión (LT). </t>
  </si>
  <si>
    <t>Proceso de construcción de la línea de transmisión acompañdo.</t>
  </si>
  <si>
    <t>Todas personas con derecho a compensación reasentadas.
100% de las personas reasentadas satisfechas.</t>
  </si>
  <si>
    <t>Población afectada por la construcción de la línea de transmisión reasentada y compensada.</t>
  </si>
  <si>
    <t>N° de personas reasentadas</t>
  </si>
  <si>
    <t>Plan de reasentamiento elaborado.</t>
  </si>
  <si>
    <t>% de satisfacción de la población</t>
  </si>
  <si>
    <t>Social Risk management</t>
  </si>
  <si>
    <t>PR/SS/MSC - Programa de Manejo Social</t>
  </si>
  <si>
    <t>Acompañamiento y monitoreo de las comunidades para asegurar que las personas mantengan o mejoren su modo de vida.</t>
  </si>
  <si>
    <r>
      <rPr>
        <b/>
        <sz val="11"/>
        <color theme="3" tint="-0.249977111117893"/>
        <rFont val="Calibri"/>
        <family val="2"/>
        <scheme val="minor"/>
      </rPr>
      <t>N° de reuniones</t>
    </r>
    <r>
      <rPr>
        <sz val="11"/>
        <color theme="3" tint="-0.249977111117893"/>
        <rFont val="Calibri"/>
        <family val="2"/>
        <scheme val="minor"/>
      </rPr>
      <t xml:space="preserve"> para monitorear la percepcion</t>
    </r>
  </si>
  <si>
    <t>Reuniones bimestrales con los pobladores del ADA y AID afectados hasta la fecha efectuados.</t>
  </si>
  <si>
    <t>Reuniones bimestrales expandidos a los pobladores del ADA y AID afectados hasta.</t>
  </si>
  <si>
    <t xml:space="preserve">Reuniones bimestrales efectuados con los pobladores de todas las comunidades del ADA y AID.
</t>
  </si>
  <si>
    <t>Las afectaciones generadas en la población del ADA y AID a partir de la definición del diseño de obra y accesos identificadas y minimizadas a travès de la vinculación y fortalecimiento del rol del líder de la comunidad.</t>
  </si>
  <si>
    <r>
      <rPr>
        <b/>
        <sz val="10"/>
        <color theme="3" tint="-0.249977111117893"/>
        <rFont val="Arial"/>
        <family val="2"/>
      </rPr>
      <t>N° de participantes</t>
    </r>
    <r>
      <rPr>
        <sz val="10"/>
        <color theme="3" tint="-0.249977111117893"/>
        <rFont val="Arial"/>
        <family val="2"/>
      </rPr>
      <t xml:space="preserve"> (clasificados por edad y sexo)</t>
    </r>
  </si>
  <si>
    <r>
      <rPr>
        <b/>
        <sz val="11"/>
        <color theme="3" tint="-0.249977111117893"/>
        <rFont val="Calibri"/>
        <family val="2"/>
        <scheme val="minor"/>
      </rPr>
      <t>Datos</t>
    </r>
    <r>
      <rPr>
        <sz val="11"/>
        <color theme="3" tint="-0.249977111117893"/>
        <rFont val="Calibri"/>
        <family val="2"/>
        <scheme val="minor"/>
      </rPr>
      <t xml:space="preserve"> sobre comportamientos migratorios</t>
    </r>
  </si>
  <si>
    <t>Mecanismo de monitoreo de impactos producidos por el comportamiento migratorio con el fin de reajuste con las expectativas de las comunidades establecido.</t>
  </si>
  <si>
    <t>Monitoreo de impactos producidos por el comportamiento migratorio efectuado en todas las comunidades afectadas en el ADA y AID hasta esta fase.</t>
  </si>
  <si>
    <t>Monitoreo de impactos producidos por el comportamiento migratorio efectuado en todas las comunidades del ADA y AID.</t>
  </si>
  <si>
    <t>Promover y fortalecer la gobernanza de las comunidades y el entendimiento de los derechos de los pueblos indígenas.</t>
  </si>
  <si>
    <t>N° de capacitaciones</t>
  </si>
  <si>
    <t>Espacios de conversación y capacitación que favorezcan el desarrollo de habilidades y competencias de liderazgo de los líderes de las comunidades indígenas establecidas.</t>
  </si>
  <si>
    <t>Competencias de liderazgo habilitadas a travès de capacitaciones en todas las comunidades indígenas afectadas dentro del ADA y ADI hasta la fecha.</t>
  </si>
  <si>
    <t>Competencias de liderazgo habilitadas a travès de capacitaciones en todas las comunidades indígenas dentro del ADA y ADI.</t>
  </si>
  <si>
    <r>
      <rPr>
        <b/>
        <sz val="11"/>
        <color theme="3" tint="-0.249977111117893"/>
        <rFont val="Calibri"/>
        <family val="2"/>
        <scheme val="minor"/>
      </rPr>
      <t>N° de espacios</t>
    </r>
    <r>
      <rPr>
        <sz val="11"/>
        <color theme="3" tint="-0.249977111117893"/>
        <rFont val="Calibri"/>
        <family val="2"/>
        <scheme val="minor"/>
      </rPr>
      <t xml:space="preserve"> de conversación</t>
    </r>
  </si>
  <si>
    <r>
      <rPr>
        <b/>
        <sz val="11"/>
        <color theme="3" tint="-0.249977111117893"/>
        <rFont val="Calibri"/>
        <family val="2"/>
        <scheme val="minor"/>
      </rPr>
      <t>N° de Reuniones</t>
    </r>
    <r>
      <rPr>
        <sz val="11"/>
        <color theme="3" tint="-0.249977111117893"/>
        <rFont val="Calibri"/>
        <family val="2"/>
        <scheme val="minor"/>
      </rPr>
      <t xml:space="preserve"> de vinculacion institucional</t>
    </r>
  </si>
  <si>
    <t>Vinculación de líderes indígenas con instituciones locales establecidos para fortalecer el desarrollo de capital social.</t>
  </si>
  <si>
    <t>Capital social entre las comunidades indígenas y las instituciones y gobiernos locales fortalecido en aquellas comunidades afectadas hasta la fecha.</t>
  </si>
  <si>
    <t>Capital social entre las comunidades indígenas y las instituciones y gobiernos locales fortaleciido en todas comunidades.</t>
  </si>
  <si>
    <t>Buscar reducir al máximo la afectación en cuanto a la dinámica actual del modo de vida, usos y costumbres.</t>
  </si>
  <si>
    <r>
      <rPr>
        <b/>
        <sz val="11"/>
        <color theme="3" tint="-0.249977111117893"/>
        <rFont val="Calibri"/>
        <family val="2"/>
        <scheme val="minor"/>
      </rPr>
      <t>N° de carteles</t>
    </r>
    <r>
      <rPr>
        <sz val="11"/>
        <color theme="3" tint="-0.249977111117893"/>
        <rFont val="Calibri"/>
        <family val="2"/>
        <scheme val="minor"/>
      </rPr>
      <t xml:space="preserve"> instalados</t>
    </r>
  </si>
  <si>
    <t>Señaléticas con información sobre las dinámicas del proyecto o vinculadas al proyecto colocadas.</t>
  </si>
  <si>
    <t>Afectación en cuanto a la dinámica actual del modo de vida, usos y costumbres reduzida.</t>
  </si>
  <si>
    <t>Afectación en cuanto a la dinámica actual del modo de vida, usos y costumbres eliminada.</t>
  </si>
  <si>
    <t>Guiar el paso a paso de la relación de los Diferentes Grupos de Interés con los Pueblos Indígenas, considerando las prácticas culturales que deben ser respetadas y las buenas prácticas para la implementación de los planes de acción.</t>
  </si>
  <si>
    <r>
      <t xml:space="preserve">N° de materiales </t>
    </r>
    <r>
      <rPr>
        <sz val="11"/>
        <color theme="3" tint="-0.249977111117893"/>
        <rFont val="Calibri"/>
        <family val="2"/>
        <scheme val="minor"/>
      </rPr>
      <t>educativos y informativos desarrollados</t>
    </r>
  </si>
  <si>
    <t>Materiales educativos e informativos desarrollados para guiar el paso a paso de la relación de los diferentes grupos de interés con los pueblos indígenas.</t>
  </si>
  <si>
    <t>La relación de los Diferentes Grupos de Interés con los Pueblos Indígenas, considerando las prácticas culturales que deben ser respetadas y las buenas prácticas para la implementación de los planes de acción mejorada.</t>
  </si>
  <si>
    <t>La relación de los Diferentes Grupos de Interés con los Pueblos Indígenas, considerando las prácticas culturales que deben ser respetadas y las buenas prácticas para la implementación de los planes de acción no presenta conflictos.</t>
  </si>
  <si>
    <t>Social Monitoring</t>
  </si>
  <si>
    <t xml:space="preserve">PR/SS/MSO - Programa de Monitoreo Social </t>
  </si>
  <si>
    <t xml:space="preserve">Definición de instrumentos de medición para la implementación de actividades. </t>
  </si>
  <si>
    <r>
      <rPr>
        <b/>
        <sz val="11"/>
        <color theme="3" tint="-0.249977111117893"/>
        <rFont val="Calibri Light"/>
        <family val="2"/>
      </rPr>
      <t>[N° de cambios</t>
    </r>
    <r>
      <rPr>
        <sz val="11"/>
        <color theme="3" tint="-0.249977111117893"/>
        <rFont val="Calibri Light"/>
        <family val="2"/>
      </rPr>
      <t xml:space="preserve">  aplicados al instructivo]</t>
    </r>
  </si>
  <si>
    <t>Instructivo de medición de impacto revisado y eventualmente adaptado.</t>
  </si>
  <si>
    <t>Instructivo de medicion de impacto revisado y eventualmente adaptado.</t>
  </si>
  <si>
    <t xml:space="preserve">Actividades de monitoreo de las medidas y programas establecidas incluso monitoreo de la percepción social a travès de indicadores de desempeño permitan identificar inconvenientes en el cumplimiento de los objetivos trazados y tomar acciones correctivas de manera oportuna. </t>
  </si>
  <si>
    <t>N° de reuniones</t>
  </si>
  <si>
    <t>Reuniones de seguimiento y monitoreo en todas las comunidades y para todos los indicadores de todos programas sociales.</t>
  </si>
  <si>
    <r>
      <rPr>
        <b/>
        <sz val="11"/>
        <color theme="3" tint="-0.249977111117893"/>
        <rFont val="Calibri Light"/>
        <family val="2"/>
      </rPr>
      <t>N° de actividades</t>
    </r>
    <r>
      <rPr>
        <sz val="11"/>
        <color theme="3" tint="-0.249977111117893"/>
        <rFont val="Calibri Light"/>
        <family val="2"/>
      </rPr>
      <t xml:space="preserve">  identificadas</t>
    </r>
  </si>
  <si>
    <t>Mejoras aplicadas a todas las actividades identificadas que requieran acciones correctivas, mejoras o rectificación.</t>
  </si>
  <si>
    <r>
      <rPr>
        <b/>
        <sz val="11"/>
        <color theme="3" tint="-0.249977111117893"/>
        <rFont val="Calibri Light"/>
        <family val="2"/>
      </rPr>
      <t>N° de mejoras</t>
    </r>
    <r>
      <rPr>
        <sz val="11"/>
        <color theme="3" tint="-0.249977111117893"/>
        <rFont val="Calibri Light"/>
        <family val="2"/>
      </rPr>
      <t xml:space="preserve">  aplicadas</t>
    </r>
  </si>
  <si>
    <t>Monitoreo de la percepción social</t>
  </si>
  <si>
    <t>[N° encuestas]</t>
  </si>
  <si>
    <t>Relevo de información sobre las percepciones con todos grupos involucrados alcanzado.</t>
  </si>
  <si>
    <r>
      <rPr>
        <b/>
        <sz val="11"/>
        <color theme="3" tint="-0.249977111117893"/>
        <rFont val="Calibri Light"/>
        <family val="2"/>
      </rPr>
      <t>N° de personas</t>
    </r>
    <r>
      <rPr>
        <sz val="11"/>
        <color theme="3" tint="-0.249977111117893"/>
        <rFont val="Calibri Light"/>
        <family val="2"/>
      </rPr>
      <t xml:space="preserve"> alcanzadas</t>
    </r>
  </si>
  <si>
    <r>
      <rPr>
        <b/>
        <sz val="11"/>
        <color theme="3" tint="-0.249977111117893"/>
        <rFont val="Calibri Light"/>
        <family val="2"/>
      </rPr>
      <t>N° de reuniones</t>
    </r>
    <r>
      <rPr>
        <sz val="11"/>
        <color theme="3" tint="-0.249977111117893"/>
        <rFont val="Calibri Light"/>
        <family val="2"/>
      </rPr>
      <t xml:space="preserve"> con comunidades indígenas</t>
    </r>
  </si>
  <si>
    <t>Monitoreo sobre el cumplimiento de acuerdos con comunidades indígenas con apoyo de una institución tercerizada en base semestral cumplida.</t>
  </si>
  <si>
    <t>Prevention of social contingencies</t>
  </si>
  <si>
    <t>PR/SS/PCS -Programa de Prevención y Gestión de Contingencias Sociales</t>
  </si>
  <si>
    <t>Establecer medidas para prevenir, afrontar y responder ante situaciones de emergencias.</t>
  </si>
  <si>
    <r>
      <rPr>
        <b/>
        <sz val="11"/>
        <color theme="1"/>
        <rFont val="Calibri Light"/>
        <family val="2"/>
      </rPr>
      <t>N° de situaciones</t>
    </r>
    <r>
      <rPr>
        <sz val="11"/>
        <color theme="1"/>
        <rFont val="Calibri Light"/>
        <family val="2"/>
      </rPr>
      <t xml:space="preserve">  atendidas</t>
    </r>
  </si>
  <si>
    <t>Plan de preparación y de respuesta ante emergencias revisado.</t>
  </si>
  <si>
    <t>Todas situaciones de emergencia exitosamente atendidas de acuerdo al último plan revisado.</t>
  </si>
  <si>
    <t>Prevención y pronta respuesta ante contingencias sociales exitosamente atentidas, tanto en las etapas constructiva y operativa del emprendimiento en su componente industrial, como en las etapas de instalación, operación y mantenimiento del componente forestal del proyecto.</t>
  </si>
  <si>
    <r>
      <rPr>
        <b/>
        <sz val="11"/>
        <color theme="1"/>
        <rFont val="Calibri Light"/>
        <family val="2"/>
      </rPr>
      <t>N° de actividades</t>
    </r>
    <r>
      <rPr>
        <sz val="11"/>
        <color theme="1"/>
        <rFont val="Calibri Light"/>
        <family val="2"/>
      </rPr>
      <t xml:space="preserve">  de seguimiento</t>
    </r>
  </si>
  <si>
    <t>Actividades de seguimiento y evaluación del cumplimiento del Plan de Preparación y Respuesta ante Emergencias conduzidas.</t>
  </si>
  <si>
    <t xml:space="preserve"> Complaints, Querries &amp; Suggestions </t>
  </si>
  <si>
    <t>PR/SS/QRI - Programa de Gestión de Quejas, Consultas y Sugerencias</t>
  </si>
  <si>
    <t xml:space="preserve">Elaboración y definición del mecanismo de recepción y gestión de quejas, sugerencias y consultas. </t>
  </si>
  <si>
    <t>[Revisiones realizadas]</t>
  </si>
  <si>
    <t>Procedimiento de gestión de quejas, sugerencias y consultas revisado y posiblemente adaptado.</t>
  </si>
  <si>
    <t>Garantizar atención a las quejas, sugerencias y consultas de la población de las zonas de influencia del proyecto, colaboradores propios y de terceros, pueblos indígenas y de la población en general, estableciendo canales de comunicación permanentes.</t>
  </si>
  <si>
    <t>[N° de acciones de socialización]</t>
  </si>
  <si>
    <t xml:space="preserve">Socializaciones del procedimiento de géstion de quejas, sugerencias y consultas efectuadas y registradas.  </t>
  </si>
  <si>
    <t xml:space="preserve">Socializaciones del procedimiento de géstion de quejas, sugerencias y consultas repetidas y registradas.  </t>
  </si>
  <si>
    <t>N° de casos atendidos</t>
  </si>
  <si>
    <t xml:space="preserve">Funcionamiento del procedimiento de quejas, sugerencias y consultas seguido mediante la verificación de los casos atentidos y cerrados.  </t>
  </si>
  <si>
    <t xml:space="preserve">Funcionamiento del procedimiento de quejas, sugerencias y consultas seguido ymediante la verificación de los casos atentidos y cerrados.  </t>
  </si>
  <si>
    <t xml:space="preserve">N° de casos cerrados </t>
  </si>
  <si>
    <t>Establecer canales de comunicación para ofrecer a la población y a los colaboradores respuestas ante sus dudas e inquietudes.</t>
  </si>
  <si>
    <t>N° de Canales de Comunicación</t>
  </si>
  <si>
    <t>Habilitación de medios de comunicación directa con la población y los colaboradores iniciada.</t>
  </si>
  <si>
    <t>Todos los Canales de Comunicación habilitados y las comunicaciones registradas.</t>
  </si>
  <si>
    <t>Los Canales de Comunicación habilitados son utilizados y las comunicaciones registradas.</t>
  </si>
  <si>
    <t>Nº de seguimientos / visitas</t>
  </si>
  <si>
    <t>Para el seguimiento de la gestión de quejas, consultas y sugerencias visitas son iniciadas a las comunidades.</t>
  </si>
  <si>
    <t>Para el seguimiento de la gestión de quejas, consultas y sugerencias visitas son efectuadas  a las comunidades indígenas para atender a todos los casos registrados.</t>
  </si>
  <si>
    <t>Desarrollar estructuras de gobernanza que ayuden a promover una conducta ética dentro de la organización y sus interacciones con otros.</t>
  </si>
  <si>
    <t>[N° cambios]</t>
  </si>
  <si>
    <t>Código de ética revisado y posiblemente redigido.</t>
  </si>
  <si>
    <t>Miembros de Comité</t>
  </si>
  <si>
    <t>Comité de Ética conformado respaldado por la Acta de designación y registro de miembros.</t>
  </si>
  <si>
    <t>Comité de Ética ejerce sus funciones respaldado por las Actas de reunión.</t>
  </si>
  <si>
    <t xml:space="preserve">Capacitación y difusión del Código de Ética inicada y respaldado por los registros de capacitación.  </t>
  </si>
  <si>
    <t>Capacitación y difusión del Código de Ética a la mayoría de los Grupos de Interés, colaboradores, proveedores etc. efectuada.</t>
  </si>
  <si>
    <t>Capacitación y difusión del Código de Ética a todos y nuevos Grupos de Interés, colaboradores, proveedores etc. efectuada.</t>
  </si>
  <si>
    <t>N° de notas de compromiso con el cumplimiento de ética firmadas</t>
  </si>
  <si>
    <t>Primeras notas de compromiso con el cumplimiento del código de ética firmadas.</t>
  </si>
  <si>
    <t xml:space="preserve">Notas de compromiso con el cumplimiento del código de ética firmadas por a mayoría de los Grupos de Interés, colaboradores, proveedores etc.  </t>
  </si>
  <si>
    <t xml:space="preserve">Notas de compromiso con el cumplimiento del código de ética firmadas por todos y nuevos Grupos de Interés, colaboradores, proveedores etc.  </t>
  </si>
  <si>
    <t>N° de denuncias recibidas y gestionadas</t>
  </si>
  <si>
    <t>Todas denuncias recibidas vinculadas al Código de Ética recibidas en loc canales de comunicación gestionadas.</t>
  </si>
  <si>
    <t xml:space="preserve">  </t>
  </si>
  <si>
    <t>Communal Health and Safety</t>
  </si>
  <si>
    <t xml:space="preserve">PR/SS/SSC - Programa de Salud y Seguridad Comunitaria </t>
  </si>
  <si>
    <t>Establecer alianzas especificas con instituciones locales y nacionales de salud a fin de contribuir con la gestión y el monitoreo de información.</t>
  </si>
  <si>
    <t>Cantidad de acuerdos establecidos</t>
  </si>
  <si>
    <t xml:space="preserve">Convenio con Ministerio de Salud suscrito.. </t>
  </si>
  <si>
    <t>Acuerdos establecidos con todas las Unidades de Salud Familiar y los Centros de Salud del ADA y AID Indígena.</t>
  </si>
  <si>
    <t>Acuerdos establecidos con todas las Unidades de Salud Familiar y los Centros de Salud del ADA y todas las Areas de Influencia Directa.</t>
  </si>
  <si>
    <t>Vinculación de casos de enfermedad con el proyecto analizada. Mediante el análise, los casos de enfermedad vinculados al proyecto son minimizados o erradicados.</t>
  </si>
  <si>
    <t>[N° de datos recolectados]</t>
  </si>
  <si>
    <t>Solicitud sometida a las instituciones del área de salud para contar con datos estadísticos.</t>
  </si>
  <si>
    <t xml:space="preserve">Datos recolectados en todas con Unidades de Salud Familiar y los Centros de Salud del ADA y AID Indígena. </t>
  </si>
  <si>
    <t xml:space="preserve">Datos recolectados en todas con Unidades de Salud Familiar y los Centros de Salud del ADA y todas las Áreas de Influencia Directa. </t>
  </si>
  <si>
    <t>[N° de casos relacionados]</t>
  </si>
  <si>
    <t>Monitoreo de las enfermedades para determinar la vinculación o no con el proyecto en el ADA y AID Indígena efectuado.</t>
  </si>
  <si>
    <t>Monitoreo de las enfermedades para determinar la vinculación o no con el proyecto en el ADA y todas Áeas de Influencia Directa efectuado.</t>
  </si>
  <si>
    <t>Promover el bienestar y una vida sana con énfasis en los grupos vulnerables (niños, mujeres, comunidades indígenas)</t>
  </si>
  <si>
    <t>[N° de campañas]</t>
  </si>
  <si>
    <t>Campañas desarrolladas para un mayor número de enfermedades.</t>
  </si>
  <si>
    <t>Las campañas del Ministerio de Salud Pública y Bienestar Social apoyadas en el ADA y AID Indígena.</t>
  </si>
  <si>
    <t>Las campañas del Ministerio de Salud Pública y Bienestar Social apoyadas en el ADA y todas Áreas de Influencia Directa.</t>
  </si>
  <si>
    <t>Mejoramiento de (1) Cobertura de servicios de salud e prevención, (2) Acceso a instalaciones sanitarias y (3) Nível de seguridad a los pobladores del ADA y AID.</t>
  </si>
  <si>
    <t>N° de campañas desarrolladas</t>
  </si>
  <si>
    <t>Campañas implementadas en el ADA y todas las comunidades del AID Indígena.</t>
  </si>
  <si>
    <t>Campañas implementadas en el ADA y todas las Áreas de Influencia Directa.</t>
  </si>
  <si>
    <t>N° de temas atendidos</t>
  </si>
  <si>
    <t>N° de capacitaciones desarrolladas sobre el manejo y disposicón de residuos</t>
  </si>
  <si>
    <t>Capacitaciones sobre el manejo y disposición de residuos en todas las comunidades a los líderes comunitários desarrolladas.</t>
  </si>
  <si>
    <t>Capacitaciones sobre el manejo y disposición de residuos desarrolladas en todas las comunidades de las Áreas de Influencia Directa a los líderes comunitários.</t>
  </si>
  <si>
    <t>Capacitaciones impartidas a todos los jefes/jefas de hogar.</t>
  </si>
  <si>
    <t>N° de campañas de donación de sangre desarrolladas</t>
  </si>
  <si>
    <t>Campañas para donación de sangre desarrolladas.</t>
  </si>
  <si>
    <t>N° de donantes/Volúmenes de sangre obtenidos</t>
  </si>
  <si>
    <t>Mayor número de donantes y volúmenes de sangre obtenidos en el ADA y AID Indígena.</t>
  </si>
  <si>
    <t>Mayor número de donantes y volúmenes de sangre obtenidos en el ADA y todas Áreas de Influencia Directa.</t>
  </si>
  <si>
    <t>N° de capacitaciones desarrolladas</t>
  </si>
  <si>
    <t>Capacitaciones/talleres sobre  la prevención del uso de alcohol y drogas desarrolladas en todas las comunidades.</t>
  </si>
  <si>
    <t>Capacitación/talleres implementadas en el ADA y todas las comunidades del AID Indígena.</t>
  </si>
  <si>
    <t>Capacitación/talleres implementadas en el ADA y todas las Áeas de Influencia Directa.</t>
  </si>
  <si>
    <t>Mayor número de personas afectadas alcanzadas en el ADA y AID Indígena.</t>
  </si>
  <si>
    <t>Mayor número de personas afectadas alcanzadas en el ADA y todas AID.</t>
  </si>
  <si>
    <t>Capacitaciones sobre  la prevención de enfermedades sexuales y reproductivas desarrolladas en todas las comunidades.</t>
  </si>
  <si>
    <t>Capacitación implementadas en el ADA y todas las comunidades del AID Indígena.</t>
  </si>
  <si>
    <t>Capacitación implementadas en el ADA y todas las Áeas de Influencia Directa.</t>
  </si>
  <si>
    <t>Mayor número de personas alcanzadas en el ADA y AID Indígena.</t>
  </si>
  <si>
    <t>Mayor número de personas alcanzadas en el ADA y todas Áreas de Influencia Directa.</t>
  </si>
  <si>
    <t>Capacitaciones sobre  la prevención de violencia doméstica y abuso sexual desarrolladas en todas las comunidades.</t>
  </si>
  <si>
    <t>N° de programas apoyados</t>
  </si>
  <si>
    <t>Apoyo a programas de nutrición efectuado.</t>
  </si>
  <si>
    <t>Apoyo efectuado en el ADA y todas las comunidades del AID Indígena.</t>
  </si>
  <si>
    <t>Apoyo efectuado en el ADA y todas las Áeas de Influencia Directa.</t>
  </si>
  <si>
    <t>Plan de asistencia médica y odontológica elaborado.</t>
  </si>
  <si>
    <t>Implementación del plan realizado en el ADA y todas las comunidades del AID Indígena.</t>
  </si>
  <si>
    <t>Implementación del plan realizado en el ADA y todas las Áeas de Influencia Directa.</t>
  </si>
  <si>
    <t>N° de Consultas</t>
  </si>
  <si>
    <t>Respaldar el acceso a servicios esenciales de atención en salud (inversión en salud)</t>
  </si>
  <si>
    <t>[N° de equipos adquiridos</t>
  </si>
  <si>
    <t>Unidades de salud identificadas por Paracel en alianza con el Ministerio de Salud Pública y Bienestar Social que requieran mejora de la infraestructura y equipamiento.</t>
  </si>
  <si>
    <t>Equipamiento contribuido en todas las unidades identificadas en alianza con el Ministerio de Salud Pública y Bienestar Social en el ADA y todas las comunidades del AID Indígena.</t>
  </si>
  <si>
    <t>Equipamiento contribuido  en todas las unidades identificadas en alianza con el Ministerio de Salud Pública y Bienestar Social en el ADA y todas las Áreas de Influencia Directa.</t>
  </si>
  <si>
    <t>Metros cuadrados mejorados o ampliados]</t>
  </si>
  <si>
    <t>Infrastructura mejorada en todas las unidades identificadas en alianza con el Ministerio de Salud Pública y Bienestar Social en el ADA y todas las comunidades del AID Indígena.</t>
  </si>
  <si>
    <t>Infrastructura mejorada en todas las unidades identificadas en alianza con el Ministerio de Salud Pública y Bienestar Social en el ADA y todas las Áreas de Influencia Directa.</t>
  </si>
  <si>
    <t>Inversión en seguridad</t>
  </si>
  <si>
    <t>N° de equipamientos comprados</t>
  </si>
  <si>
    <t>Necesidades infrastructurales y de equipamiento identificas a nível de las comisarías, estaciones de bombero y espacios públicos.</t>
  </si>
  <si>
    <t>Equipamiento contribuido  a comisarías, estaciones de bomberos y  espacios públicos identificados por Paracel en el ADA y todas las comunidades del AID Indígena.</t>
  </si>
  <si>
    <t>Equipamiento contribuido  a comisarías, estaciones de bomberos y  espacios públicos identificados por Paracel en el ADA y todas las Áreas de Influencia Directa.</t>
  </si>
  <si>
    <t>N° de datos obtenidos de manera bimestral</t>
  </si>
  <si>
    <t>Monitoreo de la seguridad iniciado en las primeras comunidades indígenas dentro del AID de forma bimestral.</t>
  </si>
  <si>
    <t>Monitoreo de la seguridad en las mayoría de las comunidades indígenas dentro del AID de forma bimestral.</t>
  </si>
  <si>
    <t>Monitoreo de la seguridad en todas las comunidades indígenas dentro del AID de forma bimestral.</t>
  </si>
  <si>
    <t>N° de asistencias jurídicas realizadas</t>
  </si>
  <si>
    <t>Prestación de asistencia jurídica en las primeras comunidades indígenas que hayan enfrentado crímenes, especialmente cuando hayan resultado por consecuencia directa o indirecta de las actividades de la empresa.</t>
  </si>
  <si>
    <t>Prestación de asistencia jurídica en la mayoría de comunidades indígenas que hayan enfrentado crímenes, especialmente cuando hayan resultado por consecuencia directa o indirecta de las actividades de la empresa.</t>
  </si>
  <si>
    <t>Road safety</t>
  </si>
  <si>
    <t xml:space="preserve">PR/SS/SEV - Programa de Seguridad Vial </t>
  </si>
  <si>
    <t>Diagnóstico de necesidades para una buena gestión de la seguridad vial (vías de tránsito más seguras)</t>
  </si>
  <si>
    <t>[N° de acciones establecidas]</t>
  </si>
  <si>
    <t>Diagnóstico elaborado en alianza con la Agencia Nacional de Tránsito y Seguridad Vial</t>
  </si>
  <si>
    <t>Acciones establecidas en alianza con la Agencia Nacional de Tránsito y Seguridad Vial.</t>
  </si>
  <si>
    <t>Continuidad de acciones en alianza con la Agencia Nacional de Tránsito y Seguridad Vial.</t>
  </si>
  <si>
    <t>La probabilidad de ocurrencia de accidentes viales y la afectación al modo de vida de las comunidades aledañas a la planta y a las propiedades para plantaciones forestales, originadas por el incremento del tránsito disminuida.</t>
  </si>
  <si>
    <t>Gestión de la seguridad vial a través de sus 5 pilares.</t>
  </si>
  <si>
    <t>Política desarrollada</t>
  </si>
  <si>
    <t>Política de seguridad vial corporativa desarrollada.</t>
  </si>
  <si>
    <t>Política de seguridad vial corporativa revisada y adaptada si necesario.</t>
  </si>
  <si>
    <t>Política de seguridad vial corporativa difundida entre todos colaboradores y grupos de interés.</t>
  </si>
  <si>
    <t>Política de seguridad vial corporativa revisada y adaptada difundida entre todos colaboradores y grupos de interés.</t>
  </si>
  <si>
    <t>Cantidad de documentos generados</t>
  </si>
  <si>
    <t>Sistema documental para demostrar el cumplimento de la política de seguridad vial desarrollado.</t>
  </si>
  <si>
    <t>Sistema documental para demostrar el cumplimento de la política de seguridad vial implementado.</t>
  </si>
  <si>
    <t>Cantidad de datos registrados</t>
  </si>
  <si>
    <t>Línea de base de seguridad vial desarrollada de acuerdo a los critérios definidos.</t>
  </si>
  <si>
    <t>Los siguientes datos: características de la movilidad, equipos de seguridad y documentación de los colaboradores de Paracel y de las empresas contratistas incluidos en la linea de base.</t>
  </si>
  <si>
    <t>Los siguientes datos: características de la movilidad, equipos de seguridad y documentación de los colaboradores de Paracel y de las empresas contratistas actualizados en la linea de base.</t>
  </si>
  <si>
    <t>[N° de acciones desarrolladas]</t>
  </si>
  <si>
    <t>Difusión y instalación de señales reglamentarias y preventivas en directa colaboración con las instituciones encargadas de la seguridad vial.</t>
  </si>
  <si>
    <t>Instalación de señales reglamentarias y preventivas controladas, reemplazadas si necesario o incrementado de acuerdo al desarrollo del proyecto en directa colaboración con las instituciones encargadas de la seguridad vial.</t>
  </si>
  <si>
    <t>N° de carteles instalados</t>
  </si>
  <si>
    <t>Cartelería y señaléticas interna colocada.</t>
  </si>
  <si>
    <t>N° de verificaciones</t>
  </si>
  <si>
    <t xml:space="preserve">Todos vehículos de Paracel verificados y en cumplimiento con los requisitos para un funcionamiento correcto y seguro. </t>
  </si>
  <si>
    <t xml:space="preserve">Requisitos para un funcionamiento correcto y seguro de todos vehículos de Paracel controlados de forma regular de acuerdo a los procedimientos internos y regulaciones oficiales. </t>
  </si>
  <si>
    <t>[N° de empresas evaluadas]</t>
  </si>
  <si>
    <t>Evidencias de que sus móviles se encuentran en perfectas condiciones de funcionamiento solicitadas a las empresas subcontratadas.</t>
  </si>
  <si>
    <t>Condiciones de todos móviles de empresas subcontratadas evaluadas de acuerdo a la muestra establecida.</t>
  </si>
  <si>
    <t>Condiciones de todos móviles de empresas subcontratadas evaluadas</t>
  </si>
  <si>
    <t>N° de chequeos realizados de manera mensual</t>
  </si>
  <si>
    <t>Chequeos periódicos realizados a todos los vehículos de Paracel para verificar su correcto funcionamiento y si poseen los elementos de seguridad exigidos por la legislación vial.</t>
  </si>
  <si>
    <t>Inducción y capacitación para los colaboradores sobre la dinámica de la población, caminos y atención de zonas sensibles iniciada para los colaboradores.</t>
  </si>
  <si>
    <t>Todos colaboradores capacitados sobre la dinámica de la población, caminos y atención de zonas sensibles.</t>
  </si>
  <si>
    <t>N° de personas con cursos de manejo defensivo</t>
  </si>
  <si>
    <t xml:space="preserve">Cursos de manejo defensivo a todos los conductores vinculados con el proyecto solicitados. </t>
  </si>
  <si>
    <t>Todos los conductores vinculados con el proyecto cuenten con cursos de manejo defensivo.</t>
  </si>
  <si>
    <t xml:space="preserve">Talleres dirigidos a la comunidad, proveedores y otros grupos de interés iniciados. </t>
  </si>
  <si>
    <t xml:space="preserve">N° de talleres dirigidos a la comunidad, proveedores y otros grupos de interés iniciados y N° de personas alcanzadas incrementado. </t>
  </si>
  <si>
    <t>N° de verificaciones mensuales.</t>
  </si>
  <si>
    <t>Todos los móviles de Paracel verificados si cuenten con botiquines de primeros auxilios y extintores de acuerdo al plan de verificación mensual.</t>
  </si>
  <si>
    <t xml:space="preserve">Capacitaciones dirigidas a colaboradores, proveedores, comunidad y otros grupos de interés sobre primeros auxilios iniciadas. </t>
  </si>
  <si>
    <t xml:space="preserve">N° de capacitaciones dirigidas a colaboradores, proveedores, comunidad y otros grupos de interés sobre primeros auxilios y N° de personas alcanzadas incrementado. </t>
  </si>
  <si>
    <t>Capacitaciones sobre primeros auxilios coduzidas a todos los colaboradores, proveedores, comunidad y otros grupos de interés que lo requieren para ejercer sus funciones profesionales y a aquellos que lo habían solicitado voluntariamente.</t>
  </si>
  <si>
    <t>Difusión de información sobre seguridad vial a las comunidades aledañas e instituciones públicas y privadas</t>
  </si>
  <si>
    <t>Charlas y talleres educativos para mantener a las comunidades e instituciones informadas sobre el avance del proyecto y cambios generados en ruta iniciada.</t>
  </si>
  <si>
    <t xml:space="preserve">N° de capacitaciones a comunidades e instituciones mantenidas informadas sobre el avance del proyecto y cambios generados en ruta, y N° de personas alcanzadas incrementado. </t>
  </si>
  <si>
    <t>Todas las comunidades aledañas e instituciones públicas y privadas mantenidas informadas sobre el avance del proyecto y cambios generados en ruta.</t>
  </si>
  <si>
    <t>N° de materiales entregados</t>
  </si>
  <si>
    <t>Entrega de materiales informativos sobre cambios en la dinámica vehicular y [plan de manejo de tránsito] iniciado.</t>
  </si>
  <si>
    <t>Materiales informativos sobre el avance del proyecto, cambios en la dinámica vehicular y [plan de manejo de tránsito] entregados a los Centros de salud, Centros Educativos y otros lugares ubicados en el área de influencia.</t>
  </si>
  <si>
    <t>Relationship with communities and social investment</t>
  </si>
  <si>
    <t xml:space="preserve">PR/SS/RCI - Programa de Relacionamiento con Comunidades e Inversión Social </t>
  </si>
  <si>
    <t>Apoyo al fortalecimiento de la identidad comunitaria</t>
  </si>
  <si>
    <t>N° de proyectos Comunitarios elaborados de manera participativa</t>
  </si>
  <si>
    <t>Elaboración de 2 proyectos comunitarios de manera participativa iniciada.</t>
  </si>
  <si>
    <t>2 proyectos Comunitarios elaborados de manera participativa</t>
  </si>
  <si>
    <t>Identidad comunitaria fortalecida.</t>
  </si>
  <si>
    <t xml:space="preserve">Iniciativas de relacionamiento fortalece la identidad comunitaria y orgaizaciones comunitarias. </t>
  </si>
  <si>
    <t>N° de centros Comunitarios habilitados</t>
  </si>
  <si>
    <t>Coordinación con los gobiernos locales y las comunidades para la habilitación de un centro Comunitario iniciado.</t>
  </si>
  <si>
    <t>Un centro Comunitario habilitado</t>
  </si>
  <si>
    <t>Apoyo al fortalecimiento de las organizaciones comunitarias de la zona</t>
  </si>
  <si>
    <t>N° de asistencias técnicas otorgadas</t>
  </si>
  <si>
    <t>Registro de los comités de productores interesados.</t>
  </si>
  <si>
    <t>Asistencia técnica a todas las organizaciones comunitarias interesadas otorgadas.</t>
  </si>
  <si>
    <t>Organizaciones comunitarias fortalecidas.</t>
  </si>
  <si>
    <t>N° de conexiones logradas</t>
  </si>
  <si>
    <t>Espacios para lograr conectar a la oferta y demanda creados.</t>
  </si>
  <si>
    <t>Conexiones logradas para todas las organizaciones comunitarias</t>
  </si>
  <si>
    <t>Promoción y desarrollo del Turismo Local</t>
  </si>
  <si>
    <t>Acciones desarrolladas en alianza con la Secretaria Nacional de Turismo y los gobiernos locales.</t>
  </si>
  <si>
    <t>Desarrollo continúo de acciones en alianza con la Secretaria Nacional de Turismo y los gobiernos locales.</t>
  </si>
  <si>
    <t>Turismo local desarrollado.</t>
  </si>
  <si>
    <t xml:space="preserve">Medidas de inversión social desarrolla el turismo local y mejora la infraestructura pública en las Áreas Directament Afectada y de Influencia Directa.  </t>
  </si>
  <si>
    <t xml:space="preserve">N° de acciones </t>
  </si>
  <si>
    <t>Plan para el desarrollo del turismo local desarrollado.</t>
  </si>
  <si>
    <t>Proyectos de turismo local desarrollados.</t>
  </si>
  <si>
    <t xml:space="preserve">Mejoramiento de la infraestructura existente e inversión en nuevas infraestructuras. </t>
  </si>
  <si>
    <t>N° de espacios mapeados</t>
  </si>
  <si>
    <t>Mapeo de todos los espacios públicos iniciado.</t>
  </si>
  <si>
    <t>Todos espacios públicos mapeados.</t>
  </si>
  <si>
    <t>Infraestructura en los espacios públicos mejorada.</t>
  </si>
  <si>
    <t>N° de espacios seleccionados</t>
  </si>
  <si>
    <t>3 espacios para mejoramiento seleccionados.</t>
  </si>
  <si>
    <t>3 espacios seleccionados mejorados.</t>
  </si>
  <si>
    <t>N° de pozos construidos</t>
  </si>
  <si>
    <t xml:space="preserve">Mapeo de los pozos de agua. </t>
  </si>
  <si>
    <t>Pozos construidos de acuerdo a las necesidades identificadas.</t>
  </si>
  <si>
    <t>Suministro de agua potable para las comunidades indígenas mejorado a travès de infraestructura mejorada.</t>
  </si>
  <si>
    <t>Medidas infraestructurales en las comunidades indígenas mejora el suministro de agua potable y el higiene sanitário.</t>
  </si>
  <si>
    <t xml:space="preserve">N° de baños construidos </t>
  </si>
  <si>
    <t>Mapeo de la situación sanitária.</t>
  </si>
  <si>
    <t>Baños construidos de acuerdo a las necesidades identificadas.</t>
  </si>
  <si>
    <t>Mejoramiento de la situación sanitária a travès de la construcción de baños.</t>
  </si>
  <si>
    <t>Fortalecimiento de la producción familiar y de generación del valor agregado.</t>
  </si>
  <si>
    <t>N° de asistencias técnicas</t>
  </si>
  <si>
    <t>Mapeo de familias interesadas en todas las comunidades indígenas efectuado.</t>
  </si>
  <si>
    <t>Asistencia técnica agropecuaria con profesionales competentes que traspasen efectivamente   metodologías y herramientas que permitan aumentar sus capacidades de producción proveida a todas las familias interesadas y al mayor número de personas.</t>
  </si>
  <si>
    <t>Incremento de las capacidades de producción.</t>
  </si>
  <si>
    <t xml:space="preserve">Medidas de inversión social agricola y forestal incrementa la productividad, agregación de valor y aprovechamiento sostenible de servicios ecosistémicos.  </t>
  </si>
  <si>
    <t>N° de personas asistidas</t>
  </si>
  <si>
    <t>Cantidad de horas de capacitación</t>
  </si>
  <si>
    <t>Plan de capacitación en innovación y agregación de valor para aquellas familias indígenas que tengan el potencial y el deseo de mejorar sus productos elaborado.</t>
  </si>
  <si>
    <t>La cantidad de horas de capacitación es suficiente para traspasar los conocimientos en innovación y agregación de valor.</t>
  </si>
  <si>
    <t>Productos con mayor valor agregado generados.</t>
  </si>
  <si>
    <t xml:space="preserve">Asistencia técnica proporconada al mayor número de familias interesadas. </t>
  </si>
  <si>
    <t xml:space="preserve">Manejo forestal sostenible </t>
  </si>
  <si>
    <t>Asistencia a las comunidades indígenas en la elaboración e implementación de planes de manejo forestal que permitan hacer un correcto aprovechamiento de este servicio ecosistémico de manera sostenible iniciada.</t>
  </si>
  <si>
    <t xml:space="preserve"> La totalidad de las comunidades indígenas asistidas en la elaboración y implementación de planes de manejo forestal sostenible.</t>
  </si>
  <si>
    <t>Aprovechamiento sostenible de los servicios ecosistémicos.</t>
  </si>
  <si>
    <t xml:space="preserve">Capacitación proporconada al mayor número de personas. </t>
  </si>
  <si>
    <t>N° de planes desarrollados</t>
  </si>
  <si>
    <t>Elaboración de planes de manejo forestal que permitan hacer un correcto aprovechamiento de este servicio ecosistémico de manera sostenible iniciada.</t>
  </si>
  <si>
    <t>Planes de manejo forestal que permitan hacer un correcto aprovechamiento de este servicio ecosistémico de manera sostenible elaborados para todas las comunidades indígenas.</t>
  </si>
  <si>
    <t>Women Empowerment</t>
  </si>
  <si>
    <t>PR/SS/EMU - Programa de Empoderamiento de la Mujer</t>
  </si>
  <si>
    <t>Promover la igualdad de género y empoderar a todas las mujeres y las niñas.</t>
  </si>
  <si>
    <t>N° de Talleres Desarrollados</t>
  </si>
  <si>
    <t>Plan para desarrollo de talleres de conscientización establecido.</t>
  </si>
  <si>
    <t>Talleres de conscientización sobre la situación de la mujer, así como sobre los derechos de las mujeres, los convenios y leyes que fomentan la igualdad de género en las comunidades indígenas iniciadas.</t>
  </si>
  <si>
    <t>Talleres de conscientización sobre la situación de la mujer, así como sobre los derechos de las mujeres, los convenios y leyes que fomentan la igualdad de género en todas comunidades indígenas desarrollados.</t>
  </si>
  <si>
    <t xml:space="preserve">Fortalecimiento del rol de la mujer en la estructura social para acortar las brechas de desigualdad étnicas y de género gracias a la participación en estrategias de visibilización y mejoramiento de la equidad de género y gracias al aumento de las oportunidades de formación profesional. </t>
  </si>
  <si>
    <t xml:space="preserve">N° de Personas participantes </t>
  </si>
  <si>
    <t>Registro de capacitación y registros fotográficos mantenidos.</t>
  </si>
  <si>
    <t>Mayor número de mujeres clasificadas por edad registrado.</t>
  </si>
  <si>
    <t>N° de programas difundidos</t>
  </si>
  <si>
    <t>Programas públicos que apuntan a la igualdad de género, la prevención de la violencia en todas sus formas y la contención a víctimas identificados.</t>
  </si>
  <si>
    <t>Difusión de los pogramas públicos que apuntan a la igualdad de género, la prevención de la violencia en todas sus formas y la contención a víctimas iniciada en las comunidades indígenas.</t>
  </si>
  <si>
    <t>Pogramas públicos que apuntan a la igualdad de género, la prevención de la violencia en todas sus formas y la contención a víctimas difundidos en todas las comunidades indígenas.</t>
  </si>
  <si>
    <t>N° de capacitaciones dictadas</t>
  </si>
  <si>
    <t>Programas de formación en liderazgo, específicos para mujeres establecidos.</t>
  </si>
  <si>
    <t>Implementación de programas de formación en liderazgo, específicos para mujeres, iniciada en las comunidades indígenas.</t>
  </si>
  <si>
    <t>Programas de formación en liderazgo, específicos para mujeres, desarrollados en todas las comunidades indígenas.</t>
  </si>
  <si>
    <t>[N° de mujeres contratadas</t>
  </si>
  <si>
    <t>Primeras mujeres contratadas en la cadena de valor de Paracel.</t>
  </si>
  <si>
    <t>Número cresciente de mujeres contratadas en la cadena de valor de Paracel.</t>
  </si>
  <si>
    <t>La inclusión y contratación de mujeres en la cadena de valor de Paracel alcanzada.</t>
  </si>
  <si>
    <t>N° de mujeres indígenas contratadas]</t>
  </si>
  <si>
    <t>Primeras mujeres indígenas contratadas en la cadena de valor de Paracel.</t>
  </si>
  <si>
    <t>Número cresciente de mujeres indígenas contratadas en la cadena de valor de Paracel.</t>
  </si>
  <si>
    <t>La inclusión y contratación de mujeres indígenas en la cadena de valor de Paracel alcanzada.</t>
  </si>
  <si>
    <t>N° de mujeres beneficiadas</t>
  </si>
  <si>
    <t>La compra de productos y servicios elaborados por emprendedoras indígenas es promovida.</t>
  </si>
  <si>
    <t>Primeras mujeres indígenas empreendedoras beneficiadas.</t>
  </si>
  <si>
    <t>Número cresciente de mujeres indígenas empreendedoras beneficiadas.</t>
  </si>
  <si>
    <t>N° de productos vendidos</t>
  </si>
  <si>
    <t>Aumento contínuo de productos vendidos.</t>
  </si>
  <si>
    <t>La gama de productos vendidos constantemente incrementa.</t>
  </si>
  <si>
    <t>N° de sesiones</t>
  </si>
  <si>
    <t>Grupos de apoyo y diálogo para mujeres establecidos en las primeras comunidades.</t>
  </si>
  <si>
    <t>Sesiones conduzidos en los primeros grupos de apoyo. N° de grupos de apoyo y diálogo para mujeres incrementa à nível de las comunidades indígenas.</t>
  </si>
  <si>
    <t>Grupos de apoyo y diálogo establecidos y sesiones conduzidos en todas las comunidades indígenas.</t>
  </si>
  <si>
    <t xml:space="preserve">[N° de mujeres involucradas </t>
  </si>
  <si>
    <t>Registro de participación y registros fotográficos mantenidos.</t>
  </si>
  <si>
    <t>Mayor número de mujeres clasificadas por edad participado.</t>
  </si>
  <si>
    <t xml:space="preserve">N° de mujeres participantes </t>
  </si>
  <si>
    <t>Comité de mujeres establecido en base a los primeros grupos y comunidades.</t>
  </si>
  <si>
    <t>Representantes de grupos de mujeres recentemente establecidos reintegrados en el comité de mujeres.</t>
  </si>
  <si>
    <t xml:space="preserve">  
Cada comunidad es representada en el comité de mujeres.
</t>
  </si>
  <si>
    <t>Protection and XXXXX of cultural heritage</t>
  </si>
  <si>
    <t xml:space="preserve">PR/SS/PCU - Programa de Resguardo y Valorización del Patrimonio Cultural </t>
  </si>
  <si>
    <t>Establecer acuerdos para el Resguardo y la Valoración del Patrimonio Cultural.</t>
  </si>
  <si>
    <t>N° de convenios establecidos à través de alianzas con los Gobiernos locales.</t>
  </si>
  <si>
    <t>Alianzas con los Gobiernos locales para desarrollar acciones para el resguardo y valorización del patrimonio cultural establecido.</t>
  </si>
  <si>
    <t>Sitios críticos identificados y primeros convenios con Gobiernos locales para el resguardo y la valoración del patrimonio cultural firmados.</t>
  </si>
  <si>
    <t>Convenios para el resguardo y la valoración del patrimonio cultural firmados con todos los Gobiernos locales con sitios críticos identificados.</t>
  </si>
  <si>
    <t xml:space="preserve">Resguardo y valorización del patrimonio del Área de Influencia Directa de Paracel logrado. </t>
  </si>
  <si>
    <t>N° de patrimonios mapeados</t>
  </si>
  <si>
    <t>Listado de bienes patrimoniales tangibles mapeados en el área de influencia del proyecto obtenido.</t>
  </si>
  <si>
    <t>[Cambios aplicados]</t>
  </si>
  <si>
    <t>Protocolo para eventuales hallazgos de bienes de patrimonio arqueológicos, históricos y culturales revisado.</t>
  </si>
  <si>
    <t>Cambios aplicados al protocolo de hallazgos fortuitos en base a la revisión efectuada.</t>
  </si>
  <si>
    <t>Protocolo de hallazgos fortuitos nuevamente revisado y eventualmente cambiado.</t>
  </si>
  <si>
    <t>Promover la revalorización y puesta en valor del patrimonio tangible e intangible, así como la identidad cultural de Concepción.</t>
  </si>
  <si>
    <t>N° de centros o museos apoyados</t>
  </si>
  <si>
    <t>Necesidades de centros culturales o museos analizado.</t>
  </si>
  <si>
    <t>Apoyo a los centros culturales y museos con necesidades articulados iniciado.</t>
  </si>
  <si>
    <t>Apoyo a todos los centros culturales y museos con necesidades articulados.</t>
  </si>
  <si>
    <t>N° de capacitación</t>
  </si>
  <si>
    <t>Plan de entrenamiento y capacitación sobre el patrimonio tangible e intangible de Concepción desarrollado.</t>
  </si>
  <si>
    <t>Capacitación para desarrollo de una identidad cultural iniciada.</t>
  </si>
  <si>
    <t>Incremento del N° de capacitaciones para desarrollo de una identidad cultural y N° de pesonad alcanzadas.</t>
  </si>
  <si>
    <t>N° de personas alcanzadas registrado.</t>
  </si>
  <si>
    <t>FAIR EMPLOYMENT &amp; ECONOMIC PARTICIPATION</t>
  </si>
  <si>
    <t xml:space="preserve"> Development and Recruitment of Local Workforce</t>
  </si>
  <si>
    <t>PR/SS/MDO - Programa de Desarrollo y Vinculación de Mano de Obra Local</t>
  </si>
  <si>
    <t>Alianzas para el desarrollo de capacidades</t>
  </si>
  <si>
    <t>[N° de acciones]</t>
  </si>
  <si>
    <t>Acciones en alianza con el Ministerio efectuadas llegando a un acuerdo sobre el marco de la formación y capacitación laboral.</t>
  </si>
  <si>
    <t>Implementación del acuerdo sobre le marco de formación y capacitación laboral inciado.</t>
  </si>
  <si>
    <t>Marco de la formación y capacitación implementado conforme al acuerdo.</t>
  </si>
  <si>
    <t>El involucro de actores gubernamentales y sociales assegura que el mayor número de personas locales sean formadas y calificadas y empleadas en los más distintos rubros y con las más distintos perfiles en respuesta a la demanda de mano de obra calificada de la empresa.</t>
  </si>
  <si>
    <r>
      <t xml:space="preserve">N° de </t>
    </r>
    <r>
      <rPr>
        <b/>
        <sz val="11"/>
        <color theme="1"/>
        <rFont val="Calibri Light"/>
        <family val="2"/>
      </rPr>
      <t>convenios</t>
    </r>
  </si>
  <si>
    <t>Convenios firmados con instituciones educativas dentro del marco de cooperación para la formación y capacitación laboral acordado con el Ministerio.</t>
  </si>
  <si>
    <t>Implementación de los convenios firmados con instituciones educativas acordado dentro del marco de formación y capacitación laboral acordado con el Ministerio iniciada.</t>
  </si>
  <si>
    <t>Convenios firmados con instituciones educativas acordado dentro del marco de formación y capacitación laboral acordado con el Ministerio implementados</t>
  </si>
  <si>
    <r>
      <t xml:space="preserve">N° de </t>
    </r>
    <r>
      <rPr>
        <b/>
        <sz val="11"/>
        <color theme="1"/>
        <rFont val="Calibri Light"/>
        <family val="2"/>
      </rPr>
      <t>instituciones</t>
    </r>
  </si>
  <si>
    <t>Mayor número de instituciones involucradas dentro del marco de cooperación.</t>
  </si>
  <si>
    <t>Actividades educativas iniciadas por las primeras instituciones involucradas dentro del marco de cooperación.</t>
  </si>
  <si>
    <t>Actividades educativas iniciadas por todas las instituciones involucradas dentro del marco de cooperación.</t>
  </si>
  <si>
    <r>
      <t xml:space="preserve">N° de </t>
    </r>
    <r>
      <rPr>
        <b/>
        <sz val="11"/>
        <color theme="1"/>
        <rFont val="Calibri Light"/>
        <family val="2"/>
      </rPr>
      <t>cursos</t>
    </r>
    <r>
      <rPr>
        <sz val="11"/>
        <color theme="1"/>
        <rFont val="Calibri Light"/>
        <family val="2"/>
      </rPr>
      <t xml:space="preserve"> desarrollados</t>
    </r>
  </si>
  <si>
    <t>Cursos diseñadas en conjunto con las instituciones aliadas de acuerdo a los perfiles de mano de obra calificada y no calificada requeridos por la empresa y sus proveedores.</t>
  </si>
  <si>
    <t>Primeros cursos diseñadas en conjunto con las instituciones aliadas de acuerdo a los perfiles de mano de obra calificada y no calificada requeridos por la empresa y sus proveedores iniciados.</t>
  </si>
  <si>
    <t>Todos cursos diseñadas en conjunto con las instituciones aliadas de acuerdo a los perfiles de mano de obra calificada y no calificada requeridos por la empresa y sus proveedores implementados.</t>
  </si>
  <si>
    <t>La formación y capacitación de personas aumenta contínuamente.</t>
  </si>
  <si>
    <t>El número deseado de persoans a seren formadas y capacitadas alcanzado.</t>
  </si>
  <si>
    <t>N° de perfiles</t>
  </si>
  <si>
    <t>Se registra una gama de perfiles en expansión.</t>
  </si>
  <si>
    <t>La gama de perfiles ha sido maximizada.</t>
  </si>
  <si>
    <t>N° de personas registradas</t>
  </si>
  <si>
    <t>Bolsa de empleo creada para responder a las necesidades de Paracel y sus proveedores</t>
  </si>
  <si>
    <t>Un número cresciente de mano de obra registrado después de actualizar la bolsa de empleo.</t>
  </si>
  <si>
    <t>Captación de mayor número de mano de obra local y nacional logrado.</t>
  </si>
  <si>
    <t>N° de rubros registrados</t>
  </si>
  <si>
    <t>Un número cresciente de rubros registrado después de actualizar la bolsa de empleo.</t>
  </si>
  <si>
    <t>Rubros registrados maximizados.</t>
  </si>
  <si>
    <t>N° operarios formados</t>
  </si>
  <si>
    <t>Un número cresciente de operarios formados para la planta industrial.</t>
  </si>
  <si>
    <t>Mayor número de operarios formados para la planta industrial.</t>
  </si>
  <si>
    <t>N° de personas becadas</t>
  </si>
  <si>
    <t>Un número cresiente de becas otorgados según criterios socioeconómicos.</t>
  </si>
  <si>
    <t>Mayor número de becas otorgados según criterios socioeconómicos.</t>
  </si>
  <si>
    <t>N° de horas de formación</t>
  </si>
  <si>
    <t>Un número cresciente de horas de formación alcanzado.</t>
  </si>
  <si>
    <t>Mayor número de horas de formación alcanzado.</t>
  </si>
  <si>
    <t xml:space="preserve">Promoción de la vinculación de la mano de obra local </t>
  </si>
  <si>
    <t>N° de medios de difusión utilizados</t>
  </si>
  <si>
    <t>Algunos medios de difusión disponibles utilizados.</t>
  </si>
  <si>
    <t>Todos medios de difusión disponibles utilizados.</t>
  </si>
  <si>
    <t>Todos medios de difusión disponibles utilizados de forma regular.</t>
  </si>
  <si>
    <t>La promoción de la vinculación laboral conlleva a la contratación y empleo de mano de obra local con enfasis en los grupos vulnerables a nível de PARACEL y sus proveedores los cuales reciban un trato igualitário en cuanto a los sistemas de compensaciones y benefícios y ajustado a sus modos tradicionales de vida.</t>
  </si>
  <si>
    <t>N° de aspirantes presentados</t>
  </si>
  <si>
    <t>Primeros aspirantes presentados.</t>
  </si>
  <si>
    <t>Un cresciente número de aspirantes presentados.</t>
  </si>
  <si>
    <t>Mayor número de aspirantes presentados.</t>
  </si>
  <si>
    <t>N° de aspirantes contratados</t>
  </si>
  <si>
    <t>Primeros aspirantes contratados.</t>
  </si>
  <si>
    <t>Un cresciente número de aspirantes contratados.</t>
  </si>
  <si>
    <t>Mayor número de aspirantes contratados.</t>
  </si>
  <si>
    <t>% de manos de obra calificada, no calificada local, nacional e internacional clasificada por edad y sexo</t>
  </si>
  <si>
    <t>Porcentaje de mano de obra presentada y contratada según criterios de califación, origen, edad y sexo incrementado</t>
  </si>
  <si>
    <t>Porcentaje de mano de obra presentada y contratada según criterios de califación, origen, edad y sexo incrementado en comparación a los años 2023-24</t>
  </si>
  <si>
    <t>N° de acciones desarrolladas</t>
  </si>
  <si>
    <t>Las primeras acciones desarrolladas y primeros espacios generados para el reclutamiento, selcción y contratación de personas entre los grupos vulnerables.</t>
  </si>
  <si>
    <t>Un numero cresciente de acciones desarrolladas y espacios generados para el reclutamiento, selcción y contratación de personas entre los grupos vulnerables.</t>
  </si>
  <si>
    <t>Mayor numero de acciones desarrolladas y espacios generados para el reclutamiento, selcción y contratación de personas entre los grupos vulnerables.</t>
  </si>
  <si>
    <t>Primeros aspirantes entre los grupos vulnerables presentados.</t>
  </si>
  <si>
    <t>Un cresciente número de aspirantes entre los grupos vulnerables presentados.</t>
  </si>
  <si>
    <t xml:space="preserve">Mayor número de aspirantes atingido entre los grupos vulnerables. </t>
  </si>
  <si>
    <t>Primeros aspirantes entre los grupos vulnerables contratados.</t>
  </si>
  <si>
    <t>Un cresciente número de aspirantes entre los grupos vulnerables contratados.</t>
  </si>
  <si>
    <t xml:space="preserve">Mayor número de contrataciones atingido entre los grupos vulnerables. </t>
  </si>
  <si>
    <t>[Colaborador Contratado]</t>
  </si>
  <si>
    <t>Colaborador contratado para monitorear la inclusion de mano de obra vulnerable a nivel de contratistas.</t>
  </si>
  <si>
    <t>Monitoreo de la inclusion de mano de obra vulnerable a nivel de contratistas iniciado por el colaborador.</t>
  </si>
  <si>
    <t>Monitoreo de la inclusion de toda mano de obra vulnerable a nivel de contratistas iniciado por el colaborador.</t>
  </si>
  <si>
    <t>Promoción de la vinculación de mano de obra local de subcontratistas.</t>
  </si>
  <si>
    <t>N° de datos compartidos</t>
  </si>
  <si>
    <t>Base de datos obtenida a través de la bolsa de empleo compartida con todo los proveedores.</t>
  </si>
  <si>
    <t>Vinculación de mano de obra local de subcontratistas iniciada.</t>
  </si>
  <si>
    <t>Vinculación de mano de obra local de subcontratistas desarrollada.</t>
  </si>
  <si>
    <t>Mapeo de cargos para la inclusión laboral de personas de Comunidades Indígenas en Paracel y en las empresas proveedoras</t>
  </si>
  <si>
    <t>N° de cargas mapeados</t>
  </si>
  <si>
    <t>Cargos donde el nivel de requerimientos de competencias y conocimientos favorezca la inclusión laboral de personas indígenas mapeados.</t>
  </si>
  <si>
    <t>Un número delevado de personas indígenas contratado para los cargos mapeados.</t>
  </si>
  <si>
    <t>El mayor número de personas indígenas contratado.</t>
  </si>
  <si>
    <t>N° de personas indígenas contratadas</t>
  </si>
  <si>
    <t>N° de cargos mapeados</t>
  </si>
  <si>
    <t>Cargos donde el nivel de requerimientos de competencias y conocimientos favorezca la inclusión laboral de personas indígenas mapeados a nível de los proveedores..</t>
  </si>
  <si>
    <t>Un número delevado de personas indígenas contratado para los cargos mapeados a nível de los proveedores.</t>
  </si>
  <si>
    <t>El mayor número de personas indígenas contratado a nível de los proveedores.</t>
  </si>
  <si>
    <t>Sistemas de Compensación y Planes de Carrera</t>
  </si>
  <si>
    <t>Escala de Compensación elaborada</t>
  </si>
  <si>
    <t>Escala de compensación y beneficios diseñada de forma transparente y justo.</t>
  </si>
  <si>
    <t>Correcta aplicación del sistema de compensaciones y beneficios de forma que los indígenas reciban una compensación igualitária que sus compañeros no indígenas por realiza las mismas tareas.</t>
  </si>
  <si>
    <t xml:space="preserve">Correcta aplicación del sistema de compensaciones y beneficios de forma que todos los indígenas contratados reciban una compensación igualitária que sus compañeros no indígenas por realiza las mismas tareas de acorde a las contribuciones de valor de cada colaborador y a los niveles salariales del mercado laboral nacional .
</t>
  </si>
  <si>
    <t>N° de beneficios</t>
  </si>
  <si>
    <t>Beneficios diseñados de forma transparente y justo.</t>
  </si>
  <si>
    <t xml:space="preserve">N° de personas compensadas </t>
  </si>
  <si>
    <t xml:space="preserve">Mayor número de personas compensadas de manera transparente y justo.  </t>
  </si>
  <si>
    <t>Planes desarrollados y carreras ajustados al modo de vida tradicional indígena.</t>
  </si>
  <si>
    <t>Riesgo de (a) pérdida de costumbres y tradiciones de cada etnia y de (b) ausentismo minimizado debido a la aplicación de carreras ajustadas en base a los planes desarrollados.</t>
  </si>
  <si>
    <t>No hay (a) pérdida de costumbres y tradiciones de cada etnia y (b) ausentismo debido a la aplicación de carreras ajustadas en base a los planes desarrollados.</t>
  </si>
  <si>
    <t>Educación Financiera</t>
  </si>
  <si>
    <t xml:space="preserve">Capacitación financiera iniciada para los colaboradores indígenas.  </t>
  </si>
  <si>
    <t xml:space="preserve">Un número cresciente de colaboradores indíenas capacitado financieramente.  </t>
  </si>
  <si>
    <t xml:space="preserve">Mayor número de colaboradores indígenas capacitado financieramente.  </t>
  </si>
  <si>
    <t>Awareness raising and monitoring of contractors and workers</t>
  </si>
  <si>
    <t xml:space="preserve">PR-SS-CON - Programa de Sensibilización y Seguimiento a Contratistas y Trabajadores </t>
  </si>
  <si>
    <t xml:space="preserve">Asegurar el cumplimiento por parte de los proveedores de las políticas desarrolladas por Paracel con base a criterios éticos, sociales, ambientales, de derechos humanos y de salud y seguridad. </t>
  </si>
  <si>
    <r>
      <rPr>
        <b/>
        <sz val="11"/>
        <color theme="3" tint="-0.249977111117893"/>
        <rFont val="Calibri"/>
        <family val="2"/>
        <scheme val="minor"/>
      </rPr>
      <t>N° de contratistas</t>
    </r>
    <r>
      <rPr>
        <sz val="11"/>
        <color theme="3" tint="-0.249977111117893"/>
        <rFont val="Calibri"/>
        <family val="2"/>
        <scheme val="minor"/>
      </rPr>
      <t xml:space="preserve"> (proveedores)/Relacion entre contratistas y compromisos fiormados</t>
    </r>
  </si>
  <si>
    <t>Listas de contratistas son completas y  continúamente actualizadas.</t>
  </si>
  <si>
    <t>Compromiso firmado con todos los proveedores de acuerdo a las listas actualizadas.</t>
  </si>
  <si>
    <t>Disminución y posiblemente erradicación del trabajo en condiciones explotadoras, y mejoramiento de las condiciones de salud y seguridad ocupacional de todos trabajadores contratados incluso indígenas mediante actividades de sensibilización y monitoreo de los contratistas y proveedores.</t>
  </si>
  <si>
    <t>N° de compromisos firmados</t>
  </si>
  <si>
    <t>Compromiso ejemplar elaborado.</t>
  </si>
  <si>
    <r>
      <rPr>
        <b/>
        <sz val="11"/>
        <color theme="3" tint="-0.249977111117893"/>
        <rFont val="Calibri"/>
        <family val="2"/>
        <scheme val="minor"/>
      </rPr>
      <t>N° de empresas</t>
    </r>
    <r>
      <rPr>
        <sz val="11"/>
        <color theme="3" tint="-0.249977111117893"/>
        <rFont val="Calibri"/>
        <family val="2"/>
        <scheme val="minor"/>
      </rPr>
      <t xml:space="preserve"> que fueron socializadas con la guía de buenas practicas</t>
    </r>
  </si>
  <si>
    <t>Guía elaborada.</t>
  </si>
  <si>
    <t>Todos proveedores socializados con la guía.</t>
  </si>
  <si>
    <r>
      <rPr>
        <b/>
        <sz val="11"/>
        <color theme="3" tint="-0.249977111117893"/>
        <rFont val="Calibri"/>
        <family val="2"/>
        <scheme val="minor"/>
      </rPr>
      <t>N° de auditorias</t>
    </r>
    <r>
      <rPr>
        <sz val="11"/>
        <color theme="3" tint="-0.249977111117893"/>
        <rFont val="Calibri"/>
        <family val="2"/>
        <scheme val="minor"/>
      </rPr>
      <t xml:space="preserve"> de proveedores</t>
    </r>
  </si>
  <si>
    <t>Auditorias realizadas a todos los proveedores de acuerdo a la lista actualizada.</t>
  </si>
  <si>
    <r>
      <rPr>
        <b/>
        <sz val="11"/>
        <color theme="3" tint="-0.249977111117893"/>
        <rFont val="Calibri"/>
        <family val="2"/>
        <scheme val="minor"/>
      </rPr>
      <t>N° de Informes</t>
    </r>
    <r>
      <rPr>
        <sz val="11"/>
        <color theme="3" tint="-0.249977111117893"/>
        <rFont val="Calibri"/>
        <family val="2"/>
        <scheme val="minor"/>
      </rPr>
      <t xml:space="preserve"> de auditoria presentados</t>
    </r>
  </si>
  <si>
    <t>Informes presentados para todas las auditorias realizadas.</t>
  </si>
  <si>
    <t>Asegurar la comprensión por parte de los contratistas y sus trabajadores de todas las políticas y prácticas desarrolladas por Paracel para proteger a las personas, sus derechos y cultura, al medio ambiente y a la comunidad, al realizar trabajos dentro, por y en nombre de Paracel.</t>
  </si>
  <si>
    <r>
      <rPr>
        <b/>
        <sz val="11"/>
        <color theme="3" tint="-0.249977111117893"/>
        <rFont val="Calibri"/>
        <family val="2"/>
        <scheme val="minor"/>
      </rPr>
      <t>N° de capacitaciones</t>
    </r>
    <r>
      <rPr>
        <sz val="11"/>
        <color theme="3" tint="-0.249977111117893"/>
        <rFont val="Calibri"/>
        <family val="2"/>
        <scheme val="minor"/>
      </rPr>
      <t xml:space="preserve"> de difusion de politicas</t>
    </r>
  </si>
  <si>
    <t>Difusión de políticas mediante capacitaciones alcanzadas a todos los contratistas y sus trabajadores.</t>
  </si>
  <si>
    <r>
      <rPr>
        <b/>
        <sz val="11"/>
        <color theme="3" tint="-0.249977111117893"/>
        <rFont val="Calibri"/>
        <family val="2"/>
        <scheme val="minor"/>
      </rPr>
      <t>N° de personas</t>
    </r>
    <r>
      <rPr>
        <sz val="11"/>
        <color theme="3" tint="-0.249977111117893"/>
        <rFont val="Calibri"/>
        <family val="2"/>
        <scheme val="minor"/>
      </rPr>
      <t xml:space="preserve"> alcanzadas</t>
    </r>
  </si>
  <si>
    <t>Establecer normas de conducta vinculadas a minimizar la afectación a las comunidades del ADA.</t>
  </si>
  <si>
    <r>
      <rPr>
        <b/>
        <sz val="11"/>
        <color theme="3" tint="-0.249977111117893"/>
        <rFont val="Calibri"/>
        <family val="2"/>
        <scheme val="minor"/>
      </rPr>
      <t>N° de principios y puntos</t>
    </r>
    <r>
      <rPr>
        <sz val="11"/>
        <color theme="3" tint="-0.249977111117893"/>
        <rFont val="Calibri"/>
        <family val="2"/>
        <scheme val="minor"/>
      </rPr>
      <t xml:space="preserve"> establecidos</t>
    </r>
  </si>
  <si>
    <t>Normas de conducta para trabajadores que ocuparán los alojamientos temporários establecidas.</t>
  </si>
  <si>
    <t>Normas de conducta para trabajadores que ocuparán los alojamientos temporários revisadas, y adaptadas si necesario.</t>
  </si>
  <si>
    <t>Normas de conducta para trabajadores que ocuparán los alojamientos temporários revisadas, y adaptadas si fues necesario.</t>
  </si>
  <si>
    <r>
      <rPr>
        <b/>
        <sz val="11"/>
        <color theme="3" tint="-0.249977111117893"/>
        <rFont val="Calibri"/>
        <family val="2"/>
        <scheme val="minor"/>
      </rPr>
      <t>N° de medios</t>
    </r>
    <r>
      <rPr>
        <sz val="11"/>
        <color theme="3" tint="-0.249977111117893"/>
        <rFont val="Calibri"/>
        <family val="2"/>
        <scheme val="minor"/>
      </rPr>
      <t xml:space="preserve"> utilizados</t>
    </r>
  </si>
  <si>
    <t>Medios de difusión disponibles alcanzados.</t>
  </si>
  <si>
    <t>Alcance de los medios de comunicación analizado, adaptado y ampliado si necesario.</t>
  </si>
  <si>
    <r>
      <rPr>
        <b/>
        <sz val="11"/>
        <color theme="3" tint="-0.249977111117893"/>
        <rFont val="Calibri"/>
        <family val="2"/>
        <scheme val="minor"/>
      </rPr>
      <t xml:space="preserve">N° de personas </t>
    </r>
    <r>
      <rPr>
        <sz val="11"/>
        <color theme="3" tint="-0.249977111117893"/>
        <rFont val="Calibri"/>
        <family val="2"/>
        <scheme val="minor"/>
      </rPr>
      <t>alcanzadas</t>
    </r>
  </si>
  <si>
    <t>Medios de difusión alcanzan a todos los trabajadores.</t>
  </si>
  <si>
    <r>
      <rPr>
        <b/>
        <sz val="11"/>
        <color theme="3" tint="-0.249977111117893"/>
        <rFont val="Calibri"/>
        <family val="2"/>
        <scheme val="minor"/>
      </rPr>
      <t>N° de controles</t>
    </r>
    <r>
      <rPr>
        <sz val="11"/>
        <color theme="3" tint="-0.249977111117893"/>
        <rFont val="Calibri"/>
        <family val="2"/>
        <scheme val="minor"/>
      </rPr>
      <t xml:space="preserve"> realizados</t>
    </r>
  </si>
  <si>
    <t>Controles realizados a todos los alojamientos.</t>
  </si>
  <si>
    <t>Vigilancia de la Salud y Seguridad laboral de los trabajadores.</t>
  </si>
  <si>
    <r>
      <rPr>
        <b/>
        <sz val="11"/>
        <color theme="3" tint="-0.249977111117893"/>
        <rFont val="Calibri"/>
        <family val="2"/>
        <scheme val="minor"/>
      </rPr>
      <t>N° de verificaciones</t>
    </r>
    <r>
      <rPr>
        <sz val="11"/>
        <color theme="3" tint="-0.249977111117893"/>
        <rFont val="Calibri"/>
        <family val="2"/>
        <scheme val="minor"/>
      </rPr>
      <t xml:space="preserve"> sobre capacitaciones vinculadas a seguridad y salud realizadas</t>
    </r>
  </si>
  <si>
    <t>Todos trabajadores capacitados en temas de salud y seguridad.</t>
  </si>
  <si>
    <r>
      <rPr>
        <b/>
        <sz val="11"/>
        <color theme="3" tint="-0.249977111117893"/>
        <rFont val="Calibri"/>
        <family val="2"/>
        <scheme val="minor"/>
      </rPr>
      <t>N° de verificaciones</t>
    </r>
    <r>
      <rPr>
        <sz val="11"/>
        <color theme="3" tint="-0.249977111117893"/>
        <rFont val="Calibri"/>
        <family val="2"/>
        <scheme val="minor"/>
      </rPr>
      <t xml:space="preserve"> sobre cumplimiento vinculadas a temas de seguridad y salud realizadas</t>
    </r>
  </si>
  <si>
    <t>Cumplimiento vinculadas a temas de salud y seguridad verificado.</t>
  </si>
  <si>
    <r>
      <rPr>
        <b/>
        <sz val="11"/>
        <color theme="3" tint="-0.249977111117893"/>
        <rFont val="Calibri"/>
        <family val="2"/>
        <scheme val="minor"/>
      </rPr>
      <t>N° de informes</t>
    </r>
    <r>
      <rPr>
        <sz val="11"/>
        <color theme="3" tint="-0.249977111117893"/>
        <rFont val="Calibri"/>
        <family val="2"/>
        <scheme val="minor"/>
      </rPr>
      <t xml:space="preserve"> sobre temas de seguridad y salud recibidos</t>
    </r>
  </si>
  <si>
    <t>Reportes mensuales en materia de salud y seguridad elaborados.</t>
  </si>
  <si>
    <t>Promotion and development of local suppliers</t>
  </si>
  <si>
    <t>PR/SS/PDP - Programa de Promoción y Desarrollo de Proveedores Locales</t>
  </si>
  <si>
    <t>Generar alianzas con organizaciones locales y nacionales vinculadas con las MiPymes en coordinación con los gobiernos locales.</t>
  </si>
  <si>
    <t>[N° de MiPymes locales mapeadas]</t>
  </si>
  <si>
    <t>Mapeo de todos MIPymes locales</t>
  </si>
  <si>
    <t>Mapeo de MIPymes revisado y actualizado.</t>
  </si>
  <si>
    <t xml:space="preserve">La promoción y desarrollo de proveedores locales ha ampliado las fuentes de generación de ingresos y contribuido a la generación de empleos, y por consiguiente disminuido los niveles de pobreza a travès del estimulo del desarrollo económico en la région.
</t>
  </si>
  <si>
    <t>N° de acuerdos / convenios establecidos con organizaciones vinculadas a MIPymes</t>
  </si>
  <si>
    <t>Primeros acuerdos/convenios establecidos con organizaciones vinculadas a MIPymes.</t>
  </si>
  <si>
    <t>Acuerdos/convenios establecidos con la mayoria de organizaciones vinculadas a MIPymes (50+1%).</t>
  </si>
  <si>
    <t>Acuerdos/convenios establecidos con todas las organizaciones vinculadas a MIPymes.</t>
  </si>
  <si>
    <t>Fomentar el desarrollo de los proveedores locales.</t>
  </si>
  <si>
    <t>N° de actividades planificadas</t>
  </si>
  <si>
    <t>Actividades iniciadas con las organizaviones identificadas vinculadas a los MIPymes en coordinación con los gobiernos locales.</t>
  </si>
  <si>
    <t>Actividades desarrolladas con la mayoria de las organizaviones identificadas vinculadas a los MIPymes en coordinación con los gobiernos locales.</t>
  </si>
  <si>
    <t>Actividades desarrolladas con todas las organizaviones identificadas vinculadas a los MIPymes en coordinación con los gobiernos locales.</t>
  </si>
  <si>
    <t>N° de empresas formalizadas</t>
  </si>
  <si>
    <t>Formalización de las empresas identificadas iniciadas.</t>
  </si>
  <si>
    <t>La mayoria de las empresas identificadas formalizadas.</t>
  </si>
  <si>
    <t>Todaslas empresas identificadas formalizadas.</t>
  </si>
  <si>
    <t>N° de hábitos trabajados</t>
  </si>
  <si>
    <t>Fomento de hábitos trabajados iniciado.</t>
  </si>
  <si>
    <t>Fomento de hábitos trabajados en la mayoria de las empresas trabajadas.</t>
  </si>
  <si>
    <t>Fomento de hábitos trabajados en todas las empresas trabajadas.</t>
  </si>
  <si>
    <t>N° de espacios generados</t>
  </si>
  <si>
    <t>Generación de espacios iniciada.</t>
  </si>
  <si>
    <t>Espacios generados para la mayoria de las empresas identificadas.</t>
  </si>
  <si>
    <t>Espacios generados para todas las empresas identificadas.</t>
  </si>
  <si>
    <t>N° de Reuniones
[N° de empresas alcanzadas]</t>
  </si>
  <si>
    <t>Reuniones con las empresas mapeadas para suministro de información iniciadas.</t>
  </si>
  <si>
    <t xml:space="preserve">Reuniones para suministro de información iniciadas facilitadas a la mayoria de las empresas mapeadas. </t>
  </si>
  <si>
    <r>
      <t xml:space="preserve">Fomentar el desarrollo de productores </t>
    </r>
    <r>
      <rPr>
        <sz val="11"/>
        <color rgb="FF000000"/>
        <rFont val="Calibri Light"/>
        <family val="2"/>
      </rPr>
      <t>forestales</t>
    </r>
    <r>
      <rPr>
        <sz val="11"/>
        <color theme="1"/>
        <rFont val="Calibri Light"/>
        <family val="2"/>
      </rPr>
      <t xml:space="preserve"> locales.</t>
    </r>
  </si>
  <si>
    <t>Proyecto desarrollado
N° de reuniones de desarrollo</t>
  </si>
  <si>
    <t>Proyect piloto desarrollado.</t>
  </si>
  <si>
    <t>Primeros productores forestales locales constituidos.</t>
  </si>
  <si>
    <t>Un número significante de productores forestales locales constituidos.</t>
  </si>
  <si>
    <t>N° de alianzas</t>
  </si>
  <si>
    <t>Generación de alianzas con organizaciones vinculadas al trabajo con pequenos trabajadores iniciada.</t>
  </si>
  <si>
    <t>Várias alianzas con organizaciones vinculadas al trabajo con pequenos trabajadores establecidas.</t>
  </si>
  <si>
    <t>Alianzas con organizaciones vinculadas al trabajo con pequenos trabajadores  propícias para la constitución de un número suficiente de productores forestales locales.</t>
  </si>
  <si>
    <t>Primeras reuniones a los comités de productores y la comunidad en general iniciadas.</t>
  </si>
  <si>
    <t>Reuniones con los comités de productores y la comunidad en general conducidas de forma regular.</t>
  </si>
  <si>
    <t>N° de productores seleccionados</t>
  </si>
  <si>
    <t>Primeros productores del proyecto piloto selecionados en base a criterios socioeconómicos y ambientales.</t>
  </si>
  <si>
    <t>Incremento de productores selecionados en comparación a la fase anterior.</t>
  </si>
  <si>
    <t>N° de técnicos involucrados en el proyecto
N° de actividades desarrolladas</t>
  </si>
  <si>
    <t>Involucro de técnicos y actividades iniciadas de acuerdo a las necesidades de los proyectos.</t>
  </si>
  <si>
    <t>El número de técnicos y actividades desarrolladas corresponden a la cantidad de productores forestales locales selecionados.</t>
  </si>
  <si>
    <t>El número de técnicos y actividades desarrolladas ajustado  a la cantidad de productores forestales locales selecionados.</t>
  </si>
  <si>
    <t>Cantidad de Visitas
Resultados forestales</t>
  </si>
  <si>
    <t>Primeras visitas de seguimiento efectuadas.</t>
  </si>
  <si>
    <t>Incremento de actividades y resultados forestales alcanzado.</t>
  </si>
  <si>
    <r>
      <t xml:space="preserve">Social Theory of Change: Livelihood Improvement  - Paracel 
</t>
    </r>
    <r>
      <rPr>
        <b/>
        <u/>
        <sz val="12"/>
        <rFont val="Helvetica Light"/>
      </rPr>
      <t>Vision for Change</t>
    </r>
    <r>
      <rPr>
        <b/>
        <sz val="12"/>
        <rFont val="Helvetica Light"/>
      </rPr>
      <t xml:space="preserve">:  Transparent Communication &amp; Monitoring / Increased Employment &amp; Economic Participation / Enhanced Social Wellbeing </t>
    </r>
    <r>
      <rPr>
        <b/>
        <sz val="14"/>
        <rFont val="Helvetica Light"/>
      </rPr>
      <t xml:space="preserve">                                                                                                                                                                                                                                                                                                                                                                              </t>
    </r>
  </si>
  <si>
    <t>PR/SS/DCO - Programa de Difusión y Comunicación
(Stakeholder engagement)</t>
  </si>
  <si>
    <t>PR/SS/RPI - Programa de Relacionamiento con Comunidades Indígenas
Community identification, communication, monitoring risks and social impact
Programas sociales basados en plan pueblo indigena, trabajo con Instituto Paraguayo del Indigena (INDI) - reuniones, no se define apoyo</t>
  </si>
  <si>
    <t>PR/SS/AAE - Programa de Manejo Interno por Afectación de Tierras y Riesgos por Agentes Externos
Derechos de pasos, manejo de riesgo de seguridad a traves de politica, construcción linea de transmission (personas affectadas compensadas y reasetadas)</t>
  </si>
  <si>
    <t>PR/SS/MSC - Programa de Manejo Social
Communicación y participación con communidad, fortalecer gobernanza, reducir impacto</t>
  </si>
  <si>
    <t xml:space="preserve">PR/SS/MSO - Programa de Monitoreo Social 
Medir impactos, percepción y mejoras </t>
  </si>
  <si>
    <t>PR/SS/PCS -Programa de Prevención y Gestión de Contingencias Sociales
Menejo situaciones de emergencia sociales - Plan de Preparación y Respuesta ante Emergencias conduzidas.</t>
  </si>
  <si>
    <t>PR/SS/QRI - Programa de Gestión de Quejas, Consultas y Sugerencias
Grievance process + fortalecer gobernanza, codigo de etica</t>
  </si>
  <si>
    <t>PR/SS/SSC - Programa de Salud y Seguridad Comunitaria 
Alianza con Ministerio de Salud - solicitud de datos estadisticos de la zona (enfermedades), campañas promover bienestar, capacitacion manejo y disposición de residuos en comunidades a líderes, capacitaciones/taller prevención uso alcohol y drogas, prevención enfermedades sexuales, violencia domestica y abuso sexual, programa nutrición , asistencia medica y dodontologica. Contibución infraestructura y equipos a comisarias, estación bomberos y espacios publicos. Monitoreo segudidad comunidades indigeneas y asistencia jurídica</t>
  </si>
  <si>
    <t>Entrega de materiales informativos sobre cambios en la dinámica vehicular y [plan de manejo de tránsito] iniciado.
Seguridad vial</t>
  </si>
  <si>
    <t>PR/SS/RCI - Programa de Relacionamiento con Comunidades e Inversión Social 
Centro comunitario habilitado con gobiernos locales, fortalecer organizaciones comunitarias, Secretaria Nacional de Turismo para promoción y desarrollo turismo local, plan desarrollo turismo local mejoramiento infraestructura (pozos, baños), capacitación en innovación para mejorar productos elaborados comunidades indígenas, planes de manejo forestal comunidades indigenas aprovechamiento de servicio ecosistemico</t>
  </si>
  <si>
    <t xml:space="preserve">N° de proyectos Comunitarios elaborados de manera participativa
</t>
  </si>
  <si>
    <t>PR/SS/EMU - Programa de Empoderamiento de la Mujer
Talleres igualdad de genero y empoderamiento mujeres y niñas, programas públicos, contratación mujeres y mujeres indígenas, compra productos y servicios elaborados indígenas emprendedoras, sesiones apoyo dialogo</t>
  </si>
  <si>
    <t xml:space="preserve">PR/SS/PCU - Programa de Resguardo y Valorización del Patrimonio Cultural 
Alianzas con los Gobiernos locales para desarrollar acciones para el resguardo y valorización del patrimonio cultural establecido, mapeo patrimonio, cambios aplicados, centros y museos apoyados, entrenamiento y capacitación de patrimonio tangible e intangible </t>
  </si>
  <si>
    <t>PR/SS/MDO - Programa de Desarrollo y Vinculación de Mano de Obra Local
Alianza con ministerio sobre formación y capacitación, cursos desarrollados. 
Base de datos obtenida a través de la bolsa de empleo compartida con todo los proveedores.
Escala de compensación - planes desarrollados y carreras ajustadas, capacitación financiera para indígenas</t>
  </si>
  <si>
    <t>PR-SS-CON - Programa de Sensibilización y Seguimiento a Contratistas y Trabajadores 
Compromisos con contratistas, politicas, personas capacitadas (contratistas y trabajadores), capacitación salud y seguridad laboral</t>
  </si>
  <si>
    <t>PR/SS/PDP - Programa de Promoción y Desarrollo de Proveedores Locales
Alianzas con organizaciones locales y nacionales vinculadas con MiPyme, productores forestales locales, proyecto piloto</t>
  </si>
  <si>
    <t>6 materiales sobre Pueblos Indígenas en 10 comunidades (1 lámina + 4 audiovisuales)</t>
  </si>
  <si>
    <t>4 Paneles instalados en Hugua Ñandú, Paso Barreto, USF L.Petit y USF San Antonio</t>
  </si>
  <si>
    <t xml:space="preserve"> 24 columneros con materiales de comunicación sobre Seguridad Vial
4 comunicaciones en Pantallas LED sobre Seguridad Vial</t>
  </si>
  <si>
    <t xml:space="preserve">5 revisiones realizadas al Plan de Comunicación </t>
  </si>
  <si>
    <t xml:space="preserve">16 materiales audiovisuales informativos y educativos, desarrollados </t>
  </si>
  <si>
    <t>121 materiales difundidos en redes sociales (estrategias digitales)</t>
  </si>
  <si>
    <t>1510 personas visitaron el reporte de sostenibilidad alojado en nuestro sitio web.</t>
  </si>
  <si>
    <t xml:space="preserve">
13.294 cuentas alcanzadas en redes sociales de la publicación invitando a leer el reporte.
</t>
  </si>
  <si>
    <t>642 personas participantes en 19 encuentros de socialización de avances de [Paracel] y los programas socioambientales en las comunidades indígenas dentro del AID.</t>
  </si>
  <si>
    <t>3 Actas de CCLPI fueron realizadas dentro del proceso de relacionamiento con comunidades indígenas del AID"</t>
  </si>
  <si>
    <t>39 personas de comunidades indígenas se encuentran trabajando en el componente forestal (Takuarita, Vy'a Renda, Jeguahaty).</t>
  </si>
  <si>
    <t>1 Plan de Pueblos indígenas actualizado en enero 2023</t>
  </si>
  <si>
    <t>154 acciones ejecutadas sobre la operativa de programas sociales basados en el Plan de Pueblos indígenas (14 programas operativizados)</t>
  </si>
  <si>
    <t>19 propiedades vecinas mapeadas a ser utilizadas como servidumbre de paso</t>
  </si>
  <si>
    <t>1 Borrador de "Acuerdo de servidumbre de paso"</t>
  </si>
  <si>
    <t>1 comunicado para garantizar que se respete el derecho de los pueblos indígenas para ingresar/salir de sus comunidades libremente y hacer uso de los caminos internos de la empresa.</t>
  </si>
  <si>
    <t>314 personas del Área Forestal participaron en 32 reuniones, logrando registrar 51 percepciones.
365 personas del Área Industrial participaron en 35 reuniones logrando registrar 158 percepciones.
642 personas indígenas participaron en 19 reuniones logrando registrar 87 percepciones.</t>
  </si>
  <si>
    <t>31 personas participantes de las comunidades indígenas, en 4 jornadas de capacitación sobre Liderazgo indígena en Yby Ya´u.</t>
  </si>
  <si>
    <t>Aproximadamente 310 interveniones realizadas por Paracel, para pomover la vinculación de líderes indígenas con instituciones locales, para el fortalecimiento del capital social de las comunidades indígenas.</t>
  </si>
  <si>
    <r>
      <t xml:space="preserve">Instrumentos de relevamiento de datos: 
</t>
    </r>
    <r>
      <rPr>
        <sz val="11"/>
        <color theme="1"/>
        <rFont val="Calibri Light"/>
        <family val="2"/>
      </rPr>
      <t xml:space="preserve">Año 2023: 4 Fichas
</t>
    </r>
  </si>
  <si>
    <t>Año 2024: 12 Fichas (a junio 2024)</t>
  </si>
  <si>
    <t xml:space="preserve">
1) 1Encuesta sobre Mano de Obra a Colaboradores con información procesada (de las cuales 39 personas son de comunidad indígena) 2)  Encuesta a 192 pescadores) 3) Encuesta sobre agua en comunidades indígenas 182 personas.
4) Encuesta a Apicultores en Comunidad Indígena -38 apicultores) 5) Encuesta de Percepción sobre  la población, sobre los avances de Paracel 300 personas
</t>
  </si>
  <si>
    <t xml:space="preserve">
 1) 1300 colaboradores/asdirectos e indirectos, encuestados con la Ficha Socioeconómica.
 2) 13 mujeres para el Proyecto de Artesanía
 3)  36 personas para Producción Apícola
 4)  1 Museo Municipal ex Cuartel Villa Real
 5) 53 familias en Roberto.L.Petit sobre la percepción comunitaria de Paracel y servicios existentes en su comunidad
6) 15 becados para Universidad y Colegio Agrícola.
7) 129 personas Encuesta de Agua
8) 179 productores_Encuesta a Productores</t>
  </si>
  <si>
    <r>
      <rPr>
        <b/>
        <sz val="11"/>
        <color theme="3" tint="-0.249977111117893"/>
        <rFont val="Calibri Light"/>
        <family val="2"/>
      </rPr>
      <t>N° de personas</t>
    </r>
    <r>
      <rPr>
        <sz val="11"/>
        <color theme="3" tint="-0.249977111117893"/>
        <rFont val="Calibri Light"/>
        <family val="2"/>
      </rPr>
      <t xml:space="preserve"> alcanzadas </t>
    </r>
  </si>
  <si>
    <t xml:space="preserve">Personas alcanzadas en las Encuestas 2023: 823 personas
</t>
  </si>
  <si>
    <t>Personas alcanzadas en las Encuestas 2024:1.725 personas</t>
  </si>
  <si>
    <t>195 personas capacitadas en 8 jornadas de capacitación en 6 comunidades sobre incendios forestales, de las cuales 135 personas son de comunidades indígenas (Takuarita, Takuarendyju y Vy'a Renda).</t>
  </si>
  <si>
    <t>Mantenimiento de 12 km de cortafuegos y caminos, para la comunidad indígena Takuarita</t>
  </si>
  <si>
    <t>3 materiales difundidos en redes sociales, del procedimiento de Quejas, consultas y sugerencias</t>
  </si>
  <si>
    <t>31 casos atendidos y cerrados, a través del seguimiento y verificación del funcionamiento del Sistema de Gestíon de QCyS</t>
  </si>
  <si>
    <t xml:space="preserve">8 líneas telefónicas, 1 correo electrónico y 1 acceso en la web habilitados para la población y colaboradores </t>
  </si>
  <si>
    <t>12 seguimientos mensuales realizados
448 registros de comunicación con comunidades indígenas realizados</t>
  </si>
  <si>
    <t>14 reuniones de seguimiento desarrolladas en el Comité de Ética, para análisis de casos ingresados de QCyS.</t>
  </si>
  <si>
    <t>1 denuncia recibida, gestionada y cerrada, recibidas en los canales de comunicaciones (correo, buzones, número corporativo, etc.).</t>
  </si>
  <si>
    <t>20 donantes en campañas de donación de sangre (12 por primera vez)</t>
  </si>
  <si>
    <t xml:space="preserve">24 personas alcanzadas en 3 jornadas de capacitación sobre salud sexual y reproductiva, incluidos los de planificación familiar.  </t>
  </si>
  <si>
    <t xml:space="preserve">1509 personas alcanzadas en 24 jornadas de capacitación sobre salud sexual y reproductiva, incluidos los de planificación familiar.  </t>
  </si>
  <si>
    <t>805 personas beneficiadas con 1610 kg de leche fortificada del PANI  y distribuida en 3 comunidades</t>
  </si>
  <si>
    <t xml:space="preserve">795 personas beneficiadas con 1590 Kg de leche del PANI  y distribuidas en </t>
  </si>
  <si>
    <t xml:space="preserve">[N° de equipos adquiridos
</t>
  </si>
  <si>
    <t>1.292 personas alcanzadas jornadas de capacitación sobreseguridad vial con la Agencia Nacional de Tránsito</t>
  </si>
  <si>
    <t>363 personas alcanzadas en  capacitación sobreseguridad vial con  la Cruz Roja Paraguaya</t>
  </si>
  <si>
    <t>24 columneros y 6 carteles instalados sobre seguridad vial</t>
  </si>
  <si>
    <t>482 personas capacitadas en 25 talleres de capacitación sobre Educación Vial en las comunidades del componente forestal, idustrial e indígenas.
CI: 117 participantes.</t>
  </si>
  <si>
    <t>1.141 personas participantes en 38 jornadas de sensibilización y primeros auxilios desarrollados (desde abril a noviembre 2023)
CI: 66 participantes.</t>
  </si>
  <si>
    <t>375 personas participantes  en jornadas de sensibilización y primeros auxilios desarrollados (desde enero a marzo 2024)</t>
  </si>
  <si>
    <t>4 Talleres de diseños participativos en alianza con la Secretaria Nacional de Turismo y los gobiernos locales. (38 personas)</t>
  </si>
  <si>
    <t>100 chalecos donados  para el proyecto Río Mágico en convenio con la Gobernación de Concepción.</t>
  </si>
  <si>
    <t>30 espacios públicos mapeados para selección de posibles apoyos de inversión para infraestructura</t>
  </si>
  <si>
    <t>101 familias beneficiadas de 3 comunidades indígenas,  en inversiones para el acceso o mejora de los sistemas de distribución de agua</t>
  </si>
  <si>
    <t>410 pescadores beneficiados con 354 kit de alimentos entregados a 5 asociaciones</t>
  </si>
  <si>
    <t>21 pescadores capacitados en 2 capacitaciones sobre educación financiera y pesca</t>
  </si>
  <si>
    <t>18 mujeres participaron en 2 Talleres de Concientización sobre la situación de la Mujer (indígena y no indígena).
Dirigidos, en una primera etapa, a comunidades del componente industrial, contando con la participación de 3 mujeres de la comunidad indígena de Redención</t>
  </si>
  <si>
    <t>.</t>
  </si>
  <si>
    <t>88 personas participantes en 7 espacios de socialización sobre igualdad de género, prevención de violencia, contención de víctimas, entre otros</t>
  </si>
  <si>
    <t>91 participantes en 3 jornadas de Formación de liderazgo, específico para mujeres, contando con la participación de 3 mujeres de la comunidad indígena de Redención.</t>
  </si>
  <si>
    <t>3 mujeres indígenas contratadas en la cadena de valor de Paracel</t>
  </si>
  <si>
    <t xml:space="preserve">16 mujeres alcanzadas en 5 Jornadas de diálogo para mujeres </t>
  </si>
  <si>
    <t>Listado del Patrimonio tangible e intangible de la ciudad de Concepción: Monumentos: 10, Conjuntos históricos:4, Sitios históricos: 9, Zonas arqueológicas: 4. - Patrimonio Material: Arquitectónico: 105, Artístico/histórico: 9, Arqueológico:0, Industrial: 3, Natural: 11. - Patrimonio Inmaterial: 6 -Bienes culturales: 2</t>
  </si>
  <si>
    <t>1 protocolo de hallazgo fortuito revisado</t>
  </si>
  <si>
    <t>1 Museo revisado para apoyar en el 2023 (Museo del Cuartel de la Villa Real), y 2 centros culturales (Asociación Cultural de la Villa Real y Parque Histórico “Ykuá Estación”).</t>
  </si>
  <si>
    <t>1 plan de capacitación a desarrollar en el 2024 sobre  el patrimonio tangible e intangible de Concepción].</t>
  </si>
  <si>
    <t>4 convenios firmados para desarrollo de capacitaciones para formación y capacitación laboral del capital humano y nacional</t>
  </si>
  <si>
    <t xml:space="preserve">287 personas participantes en jornadas de certificación laboral
20 personas inscriptas en el curso de capacitación de Ayudante de electricista
</t>
  </si>
  <si>
    <t>42 personas indígenas contratadas. 8 nuevas contrataciones en el mes de junio. Mano de obra indígena representa el 5% de las contrataciones totales. Las comunidades de las que provienen actualmente son de Vy'a Renda, Takuarita, Takuarendyju y Jeguahaty
Actualización de contrataciones en el área industrial.
61 personas de comunidades indígenas trabajando en el área forestal con empresas contratistas</t>
  </si>
  <si>
    <t>150 personas beneficiadas con capacitación en Educación Finaniera (Forestal: 25 personas que fueron beneficiados con el programa de producción y 25 colaboradores de las empresas forestadoras (50 total)
Industrial: 27 personas del grupo de los productores de ACPN, 13 personas colaboradoras de MILICIC (dentro del sitio de planta) (40 total)
Paracel: 20 personas que nos facilitará TT.HH
Indígena: 20 personas que fueron beneficiados con el programa de producción y 20 colaboradores de las empresas forestadoras (40 total))</t>
  </si>
  <si>
    <t xml:space="preserve">119 proveedores y compomisos firmados del  Código de Conducta para proveedores, el Manual para Servicios Compartidos y otros requisitos establecidos por la organización. </t>
  </si>
  <si>
    <t>63 auditorías e informes, 11 empresas alcanzadas sobre ondiciones laborales, las condiciones de salud y seguridad, [temas ambientales, violencia de género] y las conductas de la empresa y sus grupos de interés</t>
  </si>
  <si>
    <t>39 personas en 2 capacitaciones  para la difusión de las políticas de Paracel en materia de Sustentabilidad Social | 1 capacitación dirigida a colaboradores: con participación de 26 personas y otra con la participción de 13 contratistas.</t>
  </si>
  <si>
    <t xml:space="preserve">63 verificaciones realizadas a los trabajadores reciban inducciones y capacitaciones vinculadas a temas de salud y seguridad laboral. </t>
  </si>
  <si>
    <t>400 emprendedores postulados, 180 emprendedores auto diagnosticados, 71 empresas con visitas técnicas.</t>
  </si>
  <si>
    <t>1 acuerdo con Asepy para el desarrollo de acciones vinculadas a emprendedores y pequeñas y medianas empresas</t>
  </si>
  <si>
    <t>501 empresas  y 566 emprendedores alcanzados en capacitación de finanzas, mercadeo, operaciones, estrategias, entre otros, con 18 hs de capacitación</t>
  </si>
  <si>
    <t>25 emprendedores formalizados del Departamento de Concepción</t>
  </si>
  <si>
    <t xml:space="preserve">547 emprendedores alcanzados, 9 capacitaciones realizadas a proveedores locales, con 18 horas de capacitación </t>
  </si>
  <si>
    <t>Nro</t>
  </si>
  <si>
    <t>PROGRAMAS</t>
  </si>
  <si>
    <t>INTERVENCIÓN</t>
  </si>
  <si>
    <t>MEDIDAS PROPUESTAS</t>
  </si>
  <si>
    <t>ACTIVIDAD</t>
  </si>
  <si>
    <t>INDICADORES</t>
  </si>
  <si>
    <t>AÑO 2021</t>
  </si>
  <si>
    <t>AÑO 2022</t>
  </si>
  <si>
    <t>AÑO 2023</t>
  </si>
  <si>
    <t>AÑO 2024 (a Junio/julio 2024)</t>
  </si>
  <si>
    <t>Programa de Relacionamiento con Comunidades e Inversión Social</t>
  </si>
  <si>
    <t>PRODUCCIÓN AGRARIA (A PEQUEÑA ESCALA)</t>
  </si>
  <si>
    <t>[Fortalecer la producción agropecuaria].</t>
  </si>
  <si>
    <t>1. [Búsqueda y formalización de alianzas estratégicas para la implementación del proyecto].</t>
  </si>
  <si>
    <t>[N° de alianzas alcanzadas]</t>
  </si>
  <si>
    <t>NA</t>
  </si>
  <si>
    <t>Involucramiento de la Gobernación de Concepción y los municipios de Paso Barreto, Sgto José F.López y Paso Horqueta.</t>
  </si>
  <si>
    <t>2. [Desarrollar e implementar del proyecto].</t>
  </si>
  <si>
    <t>[N° de personas alcanzadas]</t>
  </si>
  <si>
    <t>72 productores de Sgto José F.López</t>
  </si>
  <si>
    <t xml:space="preserve">
35 productores de Marane´y comercializaron su producción.
15 productores de Colonia San Rafael
44 productores de la Comunidad indígena Takuarita
35 productores de la comunidad indígena Vy´a Renda
Total: 129 productores
</t>
  </si>
  <si>
    <t>14 productores comercializaron su producción
200 productores trabajando en proyectos productivos, en los distritos de  Sargento José Félix López, Paso Horqueta, Concepción, Loreto, Paso Barreto, Bella vista</t>
  </si>
  <si>
    <t>[Volumen de producción]</t>
  </si>
  <si>
    <t>25.900 kg de maíz cosechado</t>
  </si>
  <si>
    <r>
      <t>560 kg de maíz tupi pyta y</t>
    </r>
    <r>
      <rPr>
        <sz val="11"/>
        <color rgb="FFFF0000"/>
        <rFont val="Aptos Narrow"/>
        <family val="2"/>
      </rPr>
      <t xml:space="preserve"> </t>
    </r>
    <r>
      <rPr>
        <sz val="11"/>
        <rFont val="Aptos Narrow"/>
        <family val="2"/>
      </rPr>
      <t>3.475</t>
    </r>
    <r>
      <rPr>
        <sz val="11"/>
        <color rgb="FFFF0000"/>
        <rFont val="Aptos Narrow"/>
        <family val="2"/>
      </rPr>
      <t xml:space="preserve"> </t>
    </r>
    <r>
      <rPr>
        <sz val="11"/>
        <rFont val="Aptos Narrow"/>
        <family val="2"/>
      </rPr>
      <t>kg de poroto</t>
    </r>
  </si>
  <si>
    <t>[Volumen de producción destinada a renta]</t>
  </si>
  <si>
    <t>Producción destinada a seguridad alimentaria (autoconsumo)</t>
  </si>
  <si>
    <t>175 kg de maíz y  1960 kg de poroto</t>
  </si>
  <si>
    <t>3. [Búsqueda y formalización de alianzas para la inserción de los productos en cadenas de comercialización].</t>
  </si>
  <si>
    <t>en proceso</t>
  </si>
  <si>
    <t xml:space="preserve">4. [Reporte final].  </t>
  </si>
  <si>
    <t>[Indicadores de línea de base y de proceso]</t>
  </si>
  <si>
    <t>72 productores encuestados de Sargento José Félix López</t>
  </si>
  <si>
    <t>179 productores encuestados de Sargento José Félix López, Paso Horqueta, Concepción, Loreto, Paso Barreto, Bella vista</t>
  </si>
  <si>
    <t>PRODUCCIÓN APÍCOLA</t>
  </si>
  <si>
    <t>[Mejorar la producción de miel en Comunidades Indígenas].</t>
  </si>
  <si>
    <t>Comando de Operaciones de Defensa Interna (CODI) de la Fuerza de Tarea Conjunta (FTC).</t>
  </si>
  <si>
    <t>Gobernación de Concepción, Facultad de Agronomías de UNC</t>
  </si>
  <si>
    <t>44 personas de la comunidad indígena Takuarita</t>
  </si>
  <si>
    <t>53 productores de comunidades indígenas (16 de Takuarita, 27 de Vy´a Renda y 10 de Takuarendyju)</t>
  </si>
  <si>
    <t xml:space="preserve"> - 19 litros de miel cosechada </t>
  </si>
  <si>
    <t xml:space="preserve"> - 19 litros de miel vendida</t>
  </si>
  <si>
    <t xml:space="preserve"> - 38 personas encuestadas de Takuarita, en donde se implementó el primer piloto de Apicultura.
 - 30 cajas apícolas entregadas
</t>
  </si>
  <si>
    <t xml:space="preserve"> - 36 personas encuestadas, de las comunidades  indígenas Takuarendyju (11 personas) y Vy´a Renda (25 personas).
 - 30 cajas apícolas entregadas.
</t>
  </si>
  <si>
    <t xml:space="preserve"> ASOCIACIÓN DE PESCADORES</t>
  </si>
  <si>
    <t>[Apoyo al fortalecimiento de las organizaciones comunitarias de la zona].</t>
  </si>
  <si>
    <t>Gobernación de Concepción</t>
  </si>
  <si>
    <t>1) MADES 
2) Gobernación de Concepción</t>
  </si>
  <si>
    <t>[N° de personas alcanzadas/asociaciones]</t>
  </si>
  <si>
    <t>[N° de actividades desarrolladas]</t>
  </si>
  <si>
    <t>5. [Reporte final].</t>
  </si>
  <si>
    <t>INFRAESTRUCTURA SOCIAL</t>
  </si>
  <si>
    <r>
      <t>[Mejoramiento de la infraestructura existente e inversión en nuevas infraestructuras].</t>
    </r>
    <r>
      <rPr>
        <b/>
        <sz val="12"/>
        <color rgb="FF000000"/>
        <rFont val="Aptos Narrow"/>
        <family val="2"/>
      </rPr>
      <t xml:space="preserve"> </t>
    </r>
  </si>
  <si>
    <t xml:space="preserve">1. [Seleccionar a las comunidades beneficiarias según criterios de elegibilidad]. </t>
  </si>
  <si>
    <t>[N° de comunidades seleccionadas]</t>
  </si>
  <si>
    <t xml:space="preserve"> - 3 comunidades indígenas  seleccionadas para inversión en agua (Vy´a Renda, Apyka Jegua y Takuarita)
 -  3 comunidades indígenas Takuarita, Takuarendyju y Vy´a Renda para mejoramiento del sistema eléctrico 
 - Comunidad indígena Takuarita para mantenimiento de corta fuego y camino.</t>
  </si>
  <si>
    <t xml:space="preserve"> - 6 comunidades para intevención en agua: 4 rurales  (Laguna Cristo Rey, Anderi, Ayala Cué, Estribo de Plata) y 2 comunidades indígenas (Guyra Ñe´engatu y Yvyty Rovi).
 - 2comunidades indígenas para mejoramiento de sistemas sanitarios (Takuarita y Vy´a Renda)
 - 3 comunidades para mejoramiento de caminos (Roberto L.Petit, Laguna Cristo Rey y Anderi)
 - 2 comunidades para mejoramiento del sistema eléctrico (Guyra Ñe´engatu y Ayala Cue)
</t>
  </si>
  <si>
    <t xml:space="preserve">2. [Búsqueda y formalización de alianzas estratégicas para la implementación de los proyectos]. </t>
  </si>
  <si>
    <t>1 Mingará
 (SENASA en proceso)</t>
  </si>
  <si>
    <t>3. [Desarrollar e implementar los proyectos].</t>
  </si>
  <si>
    <t>[N° de mejoras en infraestructura, procesos, servicios alcanzados con el proyecto (este dato debe ser reportado también en guaraníes)].</t>
  </si>
  <si>
    <t xml:space="preserve"> - 101 familias beneficiadas de 3 comunidades indígenas,  en inversiones para el acceso o mejora de los sistemas de distribución de agua.  
 - 60 familias beneficiadas con mantenimiento de 12 km de cortafuegos y caminos, para la comunidad indígena Takuarita
 - 70 familias de Takuarita, 12 familias de Takuarendyju y 60 familias de Vy´a Rendá beneficiadas con mejoramiento del sistema eléctrico (mejoramiento de cablaedo, cambio de poste, etc.)
</t>
  </si>
  <si>
    <t>- 53 familias beneficiadas con 7 km de camino en la comunidad de Roberto L.Petit.
 - 57 familias beneficiadas de Cristo Rey y Anderi en  mejoramiento en infraestructura para acceso a agua</t>
  </si>
  <si>
    <t>4. [Reporte final].</t>
  </si>
  <si>
    <r>
      <t xml:space="preserve">
 -  182 personas (familias) encuestadas sobre acceso y disponibilidad de Agua,  de 4 comunidades indígenas: Jeguahaty, Vy´a Renda, Takuarita y Apyka Jegua.
</t>
    </r>
    <r>
      <rPr>
        <b/>
        <sz val="11"/>
        <color theme="1"/>
        <rFont val="Calibri"/>
        <family val="2"/>
        <scheme val="minor"/>
      </rPr>
      <t xml:space="preserve">
</t>
    </r>
  </si>
  <si>
    <r>
      <t xml:space="preserve">
 - 126 personas (familias)encuestadas de 2 comunidades indígenas (Yvyty Rovi, Guyra Ñeengatu) y 5 comunidades rurales (Anderi, San Rafael, Ayala Cué, Estribo de Plata y Cristo Rey).
</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
 </t>
    </r>
  </si>
  <si>
    <t>PLAYA MUNICIPAL DE PASO HORQUETA</t>
  </si>
  <si>
    <t>[Promoción y desarrollo del Turismo Local].</t>
  </si>
  <si>
    <t>1. [Búsqueda y formalización de alianzas estratégicas para la implementación de los proyectos].</t>
  </si>
  <si>
    <t>2 Alianzas (SENATUR y OCA)</t>
  </si>
  <si>
    <t>2. [Desarrollar e implementar los proyectos].</t>
  </si>
  <si>
    <t>En proceso  (Mirador, parque infantil y cantina)</t>
  </si>
  <si>
    <t>3. [Reporte final].</t>
  </si>
  <si>
    <t>En proceso de carga y análisis de datos.</t>
  </si>
  <si>
    <t>Programa de Promoción y Desarrollo de Proveedores Locales</t>
  </si>
  <si>
    <t>DESARROLLO DE PROVEEDORES LOCALES</t>
  </si>
  <si>
    <t>[Desarrollar el plan de trabajo en conjunto con la organización aliada/contratada].</t>
  </si>
  <si>
    <t>[Plan de trabajo]</t>
  </si>
  <si>
    <t>1 Plan de trabajo con ASEPY, y de forma indirecta con CAE, MIC, ACIC, UNC.</t>
  </si>
  <si>
    <t>1 Plan de trabajo con CAVIDA, KOGA, ASEPY y el MIC.</t>
  </si>
  <si>
    <t>[Implementar el programa de certificación en cual debe contener los siguientes puntos: evaluación inicial, plan de mejora para cada empresa, horas de asesoramiento, evaluación final, certificación].</t>
  </si>
  <si>
    <t>[Tamaño de la empresa]</t>
  </si>
  <si>
    <t>30 emprendedores beneficiados</t>
  </si>
  <si>
    <t xml:space="preserve"> - Pequeña: 4 empresas
 - Mediana: 1 empresa
 - Micro: 20 empresas</t>
  </si>
  <si>
    <t>En proceso</t>
  </si>
  <si>
    <t>[Porcentaje de formalización]</t>
  </si>
  <si>
    <t>100% (30 empresas formalizadas)</t>
  </si>
  <si>
    <t>100% (las 25 empresas formalizadas)</t>
  </si>
  <si>
    <t xml:space="preserve"> [Rubro]</t>
  </si>
  <si>
    <t>11 rubros (Confección, construcción, gastronomía,transporte entre otros )</t>
  </si>
  <si>
    <t>[Ubicación geográfica de la empresa]</t>
  </si>
  <si>
    <t xml:space="preserve">Todas del departamento de Concepción </t>
  </si>
  <si>
    <t>Todas del departamento de Concepción (distritos de Concepción y Horqueta)</t>
  </si>
  <si>
    <t>[Desarrollar jornadas de formalización en conjunto con instituciones del estado].</t>
  </si>
  <si>
    <t>[N° de jornadas de formalización]</t>
  </si>
  <si>
    <t>2 jornadas de formalización</t>
  </si>
  <si>
    <t>1 jornada de formalización</t>
  </si>
  <si>
    <t>[N° de empresas alcanzadas]</t>
  </si>
  <si>
    <t>30 empresas alcanzadas</t>
  </si>
  <si>
    <t>184 empresas alcanzadas</t>
  </si>
  <si>
    <t>[Vincular a las empresas certificadas con proveedores de Paracel y con el área de compras de Paracel.</t>
  </si>
  <si>
    <t>[N° de empresas vinculadas]</t>
  </si>
  <si>
    <t>2 emprendedores vinculados como proveedores de Paracel</t>
  </si>
  <si>
    <t>[Contar con datos sobre los procesos de licitación de las empresas participantes del programa de manera interna].</t>
  </si>
  <si>
    <t>[N° de procesos de licitación]</t>
  </si>
  <si>
    <t>2 licitaciones</t>
  </si>
  <si>
    <t>FOMENTO SOCIAL FORESTAL</t>
  </si>
  <si>
    <t>Fomentar el desarrollo de productores forestales locales.</t>
  </si>
  <si>
    <r>
      <t xml:space="preserve">Desarrollar un proyecto piloto de valor compartido con foco en la estrategia 2: inclusión en la cadena de valor de Paracel a pequeños productores forestales </t>
    </r>
    <r>
      <rPr>
        <i/>
        <sz val="10"/>
        <color theme="1"/>
        <rFont val="Times New Roman"/>
        <family val="1"/>
      </rPr>
      <t>(vinculado a los plazos del área de Fomento Forestal.</t>
    </r>
  </si>
  <si>
    <t>Proyecto desarrollado</t>
  </si>
  <si>
    <t>[Generar alianzas con organizaciones vinculadas al trabajo con pequeños productores].</t>
  </si>
  <si>
    <t>[Reclutamiento y selección de los primeros productores del proyecto piloto considerando los criterios de elegibilidad].</t>
  </si>
  <si>
    <t>[N° de productores/as]</t>
  </si>
  <si>
    <t>Implementación del proyecto piloto.</t>
  </si>
  <si>
    <t>[N° de productores/as seleccionados/as]</t>
  </si>
  <si>
    <t>[Inversión en guaraníes]</t>
  </si>
  <si>
    <t>Programa de Gestión de quejas, consultas y sugerencias</t>
  </si>
  <si>
    <t>GESTIÓN DE QUEJAS, CONSULTAS Y SUGERENCIAS</t>
  </si>
  <si>
    <t xml:space="preserve">[Fortalecimiento del mecanismo de recepción y gestión de quejas, sugerencias y consultas]. </t>
  </si>
  <si>
    <t>1. [Apertura de canal externo de atención de quejas].</t>
  </si>
  <si>
    <t>[Canal Externo Habilitado]</t>
  </si>
  <si>
    <r>
      <rPr>
        <b/>
        <sz val="11"/>
        <rFont val="Aptos Narrow"/>
        <family val="2"/>
      </rPr>
      <t xml:space="preserve">Canal externo habilitado para atención de quejas: </t>
    </r>
    <r>
      <rPr>
        <sz val="11"/>
        <rFont val="Aptos Narrow"/>
        <family val="2"/>
      </rPr>
      <t xml:space="preserve">
1.Atención vía llamadas: 1177 (llamadas gratuitas desde líneas Tigo) y los teléfonos (0982) 127 632 y (0982) 938 820
2.Recepción vía web: https://www2.bdolineaetica.com/paracel
3.Buzones de Quejas, Consultas y Sugerencias: ubicados en los distintos espacios de trabajo de Paracel.
Ubicación de buzones en el Componente Forestal (8 buzones)
Ubicación de buzones en el Componente Industrial (7 buzones)
Ubicación de buzones en Comunidades Indígenas (9 buzones)
4. Correo electrónico: 
Para consultas generales: info@paracel.com.py
Para quejas y denuncias: etica@paracel.com.py
5. Analista externo de Percepción y Reclamos: Oliver Ojeda (Tel: 595 987 164 198)</t>
    </r>
  </si>
  <si>
    <t>2. [Socializar el procedimiento de gestión de quejas, sugerencias y consultas con todas las partes interesadas de Paracel y los canales correspondientes].</t>
  </si>
  <si>
    <t>[N° de actividades/acciones de socialización]</t>
  </si>
  <si>
    <t xml:space="preserve">200 dípticos impresos.
Contratación de motoreparto en proceso. 
Agenda de repartos pendiente. 
Table tents para comedores: en producción
A3 para puntos de hidratación: en producción  
El procedimiento y canales fueron incluidos en las presentaciones de TH y META. 
Se realizó un monitoreo, reordenamiento y solicitud de renovación de buzones </t>
  </si>
  <si>
    <t>3. [Seguimiento y verificación del funcionamiento del sistema de gestión de quejas, sugerencias y consultas]</t>
  </si>
  <si>
    <t>[N° de quejas, consultas y sugerencias clasificadas por tipo y origen interno (nómina) y externo (contratistas y comunidad)].</t>
  </si>
  <si>
    <t>1) Quejas: 5 medias, 2 altas
2) Consultas: 1319 bajas
3) Sugerencias: 1 media
Total de casos atendidos: 1327
Desagregación interna y externa: NA</t>
  </si>
  <si>
    <t>1) Quejas: 15 medias, 2 altas
2) Consultas: 5 bajas
3) Sugerencias: 2352 bajas
Total de casos atendidos: 2374
Desagregación interna y externa: NA</t>
  </si>
  <si>
    <t>1) Quejas: 25 medias, 2 altas y 5 bajas
2) Consultas: 1434 bajas
3) Sugerencias: 13 bajas
Total de casos atendidos: 1479
Desagregación interna y externa: NA</t>
  </si>
  <si>
    <t>1) Quejas: 39 medias, 1 baja
2) Consultas: 666 bajas
3) Sugerencias: 1 baja
Total de casos atendidos: 707
QUEJAS:
Internas: 8+12 | Externas: 16+4
CONSULTAS:
Internas: 0 | Externas: 666
SUGERENCIAS:
Internas: 0 | Externas: 1</t>
  </si>
  <si>
    <t>4. [Seguimiento a comunidades indígenas para la gestión de quejas, sugerencias y consultas].</t>
  </si>
  <si>
    <t>12 seguimientos mensuales realizados, 85 registros de comunicación con comunidades indígenas realizados</t>
  </si>
  <si>
    <t>12 seguimientos mensuales realizados, 188 registros de comunicación con comunidades indígenas realizados</t>
  </si>
  <si>
    <t>12 seguimientos mensuales realizados, 475 registros de comunicación con comunidades indígenas realizados</t>
  </si>
  <si>
    <t>7 seguimientos (enero a julio) realizados,  179 registros de comunicación con comunidades indígenas realizados</t>
  </si>
  <si>
    <t>5. [Difusión del Código de Ética (según el plan de capacitación corporativo)].</t>
  </si>
  <si>
    <t>[N° de capacitaciones realizadas,</t>
  </si>
  <si>
    <t>[N° de personas alcanzadas clasificadas por edad, sexo, comunidad, etnia, empresa].</t>
  </si>
  <si>
    <t>68 personas participantes, 37 mujeres y 31 hombres</t>
  </si>
  <si>
    <t>[Horas de capacitación].</t>
  </si>
  <si>
    <t>6. [Monitoreo y seguimiento de las denuncias vinculados al Código de Ética, recibidas en los canales de comunicaciones].</t>
  </si>
  <si>
    <t>[N° de quejas relacionadas al Código de Ética clasificadas por origen].</t>
  </si>
  <si>
    <t>1 denuncia recibida, gestionada y cerrada; origen externo a través de entrevistas</t>
  </si>
  <si>
    <t>1 denuncia recibida, gestionada y cerrada; origen interno a través de entrevistas</t>
  </si>
  <si>
    <t xml:space="preserve">
1 denuncia recibida, gestionada y cerrada; origen interno a través de mail.</t>
  </si>
  <si>
    <t>Ninguno a la fecha.</t>
  </si>
  <si>
    <t>[Ofrecer canales de recepción de quejas, consultas y sugerencias a la población y a colaboradores/as]</t>
  </si>
  <si>
    <t>1. [Revisión y reubicación de los buzones en las comunidades e instalaciones de Paracel].</t>
  </si>
  <si>
    <t>[N° de buzones instalados en las comunidades e instalaciones de Paracel]</t>
  </si>
  <si>
    <t>2. [Comunicación de las ubicaciones de los buzones].</t>
  </si>
  <si>
    <t>[N° de comunicaciones realizadas para la difusión de los buzones de quejas, consultas y sugerencias].</t>
  </si>
  <si>
    <t>3. [Monitoreo de los registros recolectados en los buzones (internos cada 15 días y comunitarios mensual)].</t>
  </si>
  <si>
    <t>[N° de quejas, consultas y sugerencias recibidas en cada buzón, clasificadas por tipo y zona geográfica].</t>
  </si>
  <si>
    <t>4. [Cierre y sistematización del proceso (cada vez que sea necesario)].</t>
  </si>
  <si>
    <t>[N° de procesos cerrados].</t>
  </si>
  <si>
    <t>5. [Contratación de un analista de Percepción y Reclamos].</t>
  </si>
  <si>
    <t>[Analista contratado/a]</t>
  </si>
  <si>
    <t xml:space="preserve">Contratación desde el mes de Abril </t>
  </si>
  <si>
    <t>6. [Visita a comunidades por parte del analista de Percepción y Reclamos].</t>
  </si>
  <si>
    <t>[N° de visitas realizadas]</t>
  </si>
  <si>
    <t>[N° de quejas, consultas, sugerencias registradas]</t>
  </si>
  <si>
    <t>[N° de comunidades visitadas]</t>
  </si>
  <si>
    <t>Programa de Salud y Seguridad Comunitaria</t>
  </si>
  <si>
    <t>SALUD Y SEGURIDAD COMUNITARIA</t>
  </si>
  <si>
    <t>[Establecer alianzas especificas con instituciones locales y nacionales de salud a fin de contribuir con asistencias médicas].</t>
  </si>
  <si>
    <t>1. [Lograr una vinculación cercana con las Unidades de Salud Familiar y los Centros de Salud del ADA y AID y con las nuevas autoridades del Ministerio de Salud Pública y Bienestar Social].</t>
  </si>
  <si>
    <t>2 acciones: 1 jornada médica y 1 apoyo para entrega de oxígeno y traslado de muestras médicas</t>
  </si>
  <si>
    <t>1 Convenio suscripto con el MSPyBS, 1 acuerdo con la Primera Región Sanitaria.</t>
  </si>
  <si>
    <t>1 Convenio suscripto con el MSPyBS, en gestión de firma de convenio con la Primera Región Sanitaria y USF locales (área de influencia de Paracel)</t>
  </si>
  <si>
    <t>2. [Selección de las comunidades a ser beneficiadas con las asistencias médicas].</t>
  </si>
  <si>
    <t>4 comunidades: Sargento José Féliz López, Jhugua Po’i, Virgen del Camino y Laguna Cristo Rey</t>
  </si>
  <si>
    <t>6 Comunidades: Paso Barreto, Indígena Jeguahaty, Colonia Jorge Sebastian Miranda, Laguna Cristo Rey, Sargento José Félix López, Colonia San Rafael</t>
  </si>
  <si>
    <r>
      <t xml:space="preserve">10 comunidades alcanzadas en el primer semestre del año: Isla Hermosa, Jhugua Ñandu, Paso Mbutu, </t>
    </r>
    <r>
      <rPr>
        <sz val="11"/>
        <color rgb="FFFF0000"/>
        <rFont val="Calibri"/>
        <family val="2"/>
        <scheme val="minor"/>
      </rPr>
      <t>Roberto L. Pettit</t>
    </r>
    <r>
      <rPr>
        <sz val="11"/>
        <color theme="1"/>
        <rFont val="Calibri"/>
        <family val="2"/>
        <scheme val="minor"/>
      </rPr>
      <t xml:space="preserve">, Jhugua Po'i, </t>
    </r>
    <r>
      <rPr>
        <sz val="11"/>
        <color rgb="FFFF0000"/>
        <rFont val="Calibri"/>
        <family val="2"/>
        <scheme val="minor"/>
      </rPr>
      <t>Callejón San Antonio</t>
    </r>
    <r>
      <rPr>
        <sz val="11"/>
        <color theme="1"/>
        <rFont val="Calibri"/>
        <family val="2"/>
        <scheme val="minor"/>
      </rPr>
      <t xml:space="preserve">, </t>
    </r>
    <r>
      <rPr>
        <sz val="11"/>
        <color rgb="FFFF0000"/>
        <rFont val="Calibri"/>
        <family val="2"/>
        <scheme val="minor"/>
      </rPr>
      <t xml:space="preserve">Jhugua Guasu, </t>
    </r>
    <r>
      <rPr>
        <sz val="11"/>
        <color theme="1"/>
        <rFont val="Calibri"/>
        <family val="2"/>
        <scheme val="minor"/>
      </rPr>
      <t>Paso Barreto, Sargento José F. López, Indígena Redención.</t>
    </r>
  </si>
  <si>
    <t>3. [Desarrollo de las jornadas de asistencias médicas].</t>
  </si>
  <si>
    <t>[N° de personas que participaron de las asistencias desagregadas por sexo, edad, etnia, comunidad, etc.]</t>
  </si>
  <si>
    <t>2522 personas alcanzadas | Mujeres: 1.206; Hombres: 1.316</t>
  </si>
  <si>
    <t>362 personas alcanzadas | 1108 servicios prestados</t>
  </si>
  <si>
    <t>979 personas alcanzadas</t>
  </si>
  <si>
    <t xml:space="preserve"> [N° de especialidades médicas por asistencia]</t>
  </si>
  <si>
    <t>4 especialidades médicas: gineco-obstetricia, ginecología, pediatría, examen ginecológico</t>
  </si>
  <si>
    <t xml:space="preserve"> 7 especialidades médicas:  Gineco-obstétrica, Papanicolaou, Pediatría, Odontología, Clínica General, Ecografía, Inmunización.</t>
  </si>
  <si>
    <t>7 especialidades médicas: clínica médica, ginecología, ecografía, odontología, infecciones de transmisión sexual, inmunización y pediatría.</t>
  </si>
  <si>
    <t>[Contribuir con el Programa Alimentario Nutricional Integral – PANI, del Ministerio de Salud Pública y Bienestar Social con el fin de asistir en el control de la desnutrición de niños y niñas de comunidades del área influencia de Paracel].</t>
  </si>
  <si>
    <t>1. [Generar alianzas con la Primera Región Sanitaria y el Instituto Nacional de Alimentación y Nutrición].</t>
  </si>
  <si>
    <t>[N° de convenios]</t>
  </si>
  <si>
    <t>1 acuerdo con la Primera Región Sanitaria para el apoyo al programa PANI en áreas de influencia de la empresa</t>
  </si>
  <si>
    <t>2. [Seleccionar las USF a ser intervenidas].</t>
  </si>
  <si>
    <t>[N° de USF seleccionadas, clasificadas por zona]</t>
  </si>
  <si>
    <t>2 USF: en Colonia Jorge Sebastián Miranda y Jhugua Po'i</t>
  </si>
  <si>
    <t>2 USF: Jhugua Ñandu y Jhugua Po'i</t>
  </si>
  <si>
    <t xml:space="preserve">2 USF:  Loreto, Arroyito </t>
  </si>
  <si>
    <t xml:space="preserve">3. [Distribución y entrega de las leches en las USF seleccionadas]. </t>
  </si>
  <si>
    <t>[N° de personas alcanzadas, clasificadas por comunidad/zona]</t>
  </si>
  <si>
    <t>201 personas  alcanzadas en la distribución de 350 kg de leche fortificada
68 personas de la comunidad indígena Vy'a Renda alcanzadas con la distribución de 150 kg de leche fortificada</t>
  </si>
  <si>
    <t>805 personas alcanzadas en la distribución de 1610 kg de leche fortificada</t>
  </si>
  <si>
    <t>795 personas alcanzadas en la distribución con 1590 Kg de leche fortificada</t>
  </si>
  <si>
    <t>1. [Generar alianzas con la Fundación Vencer y PRONASIDA].</t>
  </si>
  <si>
    <t>1 Convenio suscripto con Fundación Vencer</t>
  </si>
  <si>
    <t>1 Convenio suscripto con el MSPyBS, en gestión de acuerdo y firma de convenio con el PRONASIDA</t>
  </si>
  <si>
    <t>2. Desarrollar capacitaciones / talleres sobre salud sexual y reproductiva, incluidos los de planificación familiar. Ayudar a tomar conciencia acerca de enfermedades y su prevención, por ejemplo, según las circunstancias y prioridades locales, el VIH/SIDA.</t>
  </si>
  <si>
    <t xml:space="preserve">3 jornadas de capacitación de formador de formadores, sobre salud sexual y reproductiva, incluidos los de planificación familiar.  </t>
  </si>
  <si>
    <t>24 abordajes realizados desarrollando temas de salud sexual reproductiva y VIH-SIDA (replicas de las capacitaciones recibidas con Fundación Vencer).</t>
  </si>
  <si>
    <t xml:space="preserve">Posibilitar la asistencia médica a Comunidades del área de influencia de Paracel en el 2024. </t>
  </si>
  <si>
    <t xml:space="preserve">24 personas alcanzadas: representantes de las USFs de Sargento José F. Lopez,  Paso Barreto, </t>
  </si>
  <si>
    <t>805 personas de 13 comunidades: Jhugua Poi, Virgen del Camino, Isla Hermosa, Jhugua Guazu, Jhugua Ñandu,Paso Mbutu, Santisima Trinidad, Isleria, Paso Itá,  Mbocayaty, Anderí, Laguna Cristo Rey y Calle 11.</t>
  </si>
  <si>
    <t>[Inversión en infraestructura social para el manejo de residuos]</t>
  </si>
  <si>
    <t>1. [Selección de una empresa consultora para el desarrollo de los planes de manejo integral de residuos].</t>
  </si>
  <si>
    <t>N° de empresas seleccionadas</t>
  </si>
  <si>
    <t>1 Empresa seleccionada: Geosurvey</t>
  </si>
  <si>
    <t>2. [Selección de las comunidades a ser beneficiadas].</t>
  </si>
  <si>
    <t>6 comunidades seleccionadas para el diagnóstico y línea de base: Jhugua Ñandu,  Jhugua Po´i, Takuarita, Mberyvo Jeguarymi, Apyka Jegua</t>
  </si>
  <si>
    <t>5 comunidades seleccionadas: Jhugua Ñandu, , Jhugua Po´i, Takuarita, Mberyvo Jeguarymi, Apyka Jegua</t>
  </si>
  <si>
    <t>3. [Implementación de los planes de manejo integral de residuos].</t>
  </si>
  <si>
    <t>[N° en kilos de residuos gestionados por tipo y comunidad]</t>
  </si>
  <si>
    <t>En proceso de realización de capacitaciones con las 5 comunidades seleccionadas: Jhugua Ñandu,  Jhugua Po´i, Takuarita, Mberyvo Jeguarymi, Apyka Jegua)</t>
  </si>
  <si>
    <t>[Inversión en cantidad y guaraníes en herramientas para la gestión residuos]</t>
  </si>
  <si>
    <t>En proceso de realización de capacitaciones con las 5 comunidades seleccionadas: Jhugua Ñandu, Jhugua Po´i, Takuarita, Mberyvo Jeguarymi, Apyka Jegua)</t>
  </si>
  <si>
    <t>985 viviendas encuestadas</t>
  </si>
  <si>
    <t>En proceso de realización de capacitaciones con las 8 comunidades seleccionadas: Jhugua Ñandu, Saladillo, Kurusu Ñu, Paso Horqueta, Jhugua Po´i, Takuarita, Mberyvo Jeguarymi, Apyka Jegua)</t>
  </si>
  <si>
    <t>Programa de Relacionamiento con Comunidades Indígenas</t>
  </si>
  <si>
    <t>COMUNIDADES INDÍGENAS</t>
  </si>
  <si>
    <t>Identificación de comunidades indígenas dentro del AID.</t>
  </si>
  <si>
    <t>1. Seleccionar a una organización con experiencia con comunidades indígenas para prestar servicios de intermediación interinstitucional y la realización de actividades para el cumplimiento del Decreto 1039/18 y de normativas internacionales como la IFC (en casos de necesidad).</t>
  </si>
  <si>
    <t>1 institución contratada: Fundación Natán</t>
  </si>
  <si>
    <t>2. Mapear a las comunidades indígenas dentro del Área de Influencia Directa (AID) de Paracel, según los criterios propuestos por el Decreto 1039/18 y la IFC (en casos de necesidad).</t>
  </si>
  <si>
    <t>Nº de comunidades indígenas identificadas</t>
  </si>
  <si>
    <t>12 comunidades indígenas identificadas</t>
  </si>
  <si>
    <t>3. Intermediar el relacionamiento con comunidades indígenas con el permiso y participación del Instituto Paraguayo del Indígena (INDI).</t>
  </si>
  <si>
    <t>1. Realizar encuentros de socialización de avances de Paracel y los programas socioambientales en las comunidades indígenas dentro del AID.</t>
  </si>
  <si>
    <t xml:space="preserve">30 encuentros de socialización </t>
  </si>
  <si>
    <t xml:space="preserve">52 encuentros de socialización </t>
  </si>
  <si>
    <t xml:space="preserve">130 encuentros de socialización </t>
  </si>
  <si>
    <t xml:space="preserve">9 encuentros de socialización </t>
  </si>
  <si>
    <t>609 personas participantes</t>
  </si>
  <si>
    <t>2854 personas participantes</t>
  </si>
  <si>
    <t>1210 personas participantes</t>
  </si>
  <si>
    <t>237 personas participantes</t>
  </si>
  <si>
    <t>2. Convenir con las comunidades indígenas el cumplimiento del proceso de “Consulta y Consentimiento, Libre, Previo e Informado” (CCLPI), conforme al Decreto 1039/18 para la implementación de nuevos proyectos y con el acompañamiento del área de Fiscalización de CCLPI del INDI.</t>
  </si>
  <si>
    <t>[Revisión de la línea base para el trabajo conjunto con comunidades indígenas].</t>
  </si>
  <si>
    <t>1. [Contratar a una consultora para la actualización de la identificación de servicios ecosistémicos de las comunidades indígenas que hacen uso de estos dentro de las propiedades de Paracel]. </t>
  </si>
  <si>
    <t>[Consultora Contratada]</t>
  </si>
  <si>
    <t>1 consultora: A todo Pulmón Paraguay Respira</t>
  </si>
  <si>
    <t>2. [Desarrollo e implementación del plan de trabajo].</t>
  </si>
  <si>
    <t>[Nº de encuestas aplicadas]</t>
  </si>
  <si>
    <t xml:space="preserve"> [N° de personas alcanzadas]</t>
  </si>
  <si>
    <t>[Mantener vigente] el Plan de Pueblos Indígenas respetando lo que estable la política de Relacionamiento con Comunidades Indígenas de Paracel.</t>
  </si>
  <si>
    <t>1. Revisión del Plan de Pueblos Indígenas.</t>
  </si>
  <si>
    <t>[Plan de Pueblos Indígenas revisado]</t>
  </si>
  <si>
    <t>1 Plan de Pueblos indígenas revisado en enero 2023</t>
  </si>
  <si>
    <t>1  Plan de Pueblos indígenas actualizado en abril 2024</t>
  </si>
  <si>
    <t>2. [Compartir el Plan actualizado con los líderes y líderesas de las comunidades indígenas].</t>
  </si>
  <si>
    <t>[N° de reuniones]</t>
  </si>
  <si>
    <t>3. [Socialización del Plan de Pueblos Indígenas actualizado y firma de las actas de consentimiento].</t>
  </si>
  <si>
    <t>[N° de reuniones realizadas]</t>
  </si>
  <si>
    <t>[N° de Actas de Consentimentos Firmadas]</t>
  </si>
  <si>
    <t>[Implementación del PPI]</t>
  </si>
  <si>
    <t>1. [Operativización de las acciones].</t>
  </si>
  <si>
    <t>N° de acciones ejecutadas</t>
  </si>
  <si>
    <t>2. [Realizar dos jornadas de cedulación en 10 comunidades indígenas del área de influencia de Paracel en el año 2024 con un alcance mínimo de 300 personas].</t>
  </si>
  <si>
    <t>N° de comunidades alcanzadas.</t>
  </si>
  <si>
    <t>N° de personas alcanzadas clasificadas por franja etaria, sexo, comunidad, etnia,etc.</t>
  </si>
  <si>
    <t>Condición de la cedulación (por primera vez y renovación).</t>
  </si>
  <si>
    <t xml:space="preserve">Cantidad de certificados de nacimiento entregados. </t>
  </si>
  <si>
    <t>N° de carnet del indígena entregados</t>
  </si>
  <si>
    <t>[Mantener informadas a las comunidades Ita Jeguaka, Cerro Akangue y Arroyo Ka’a con apertura por parte de Paracel de iniciar procesos de consulta].</t>
  </si>
  <si>
    <t>1. [Visitas a las comunidades Ita Jeguaka, Cerro Akangue y Arroyo Ka’a para proveer información acerca del avance de Paracel y sus programas socioambientales].</t>
  </si>
  <si>
    <t>[N° de visitas realizadas por comunidad</t>
  </si>
  <si>
    <t>N° de personas alcanzadas por comunidad]</t>
  </si>
  <si>
    <t xml:space="preserve">[Contribuir en el manejo sostenible de los bosques de las comunidades indígenas]. </t>
  </si>
  <si>
    <t>1. [Contratación de una organización especializada].</t>
  </si>
  <si>
    <t>[Organización contratada]</t>
  </si>
  <si>
    <t xml:space="preserve">2. [Desarrollo de un plan de trabajo en conjunto con la comunidad indígena seleccionada y la organización contratada]. </t>
  </si>
  <si>
    <t>3. [Implementación del plan de trabajo].</t>
  </si>
  <si>
    <t>[% de cumplimiento del plan de trabajo]</t>
  </si>
  <si>
    <t>4. [Entrega del reporte final a la comunidad].</t>
  </si>
  <si>
    <t>[Reporte]</t>
  </si>
  <si>
    <t>Programa de Desarrollo y Vinculación con Mano de Obra Local</t>
  </si>
  <si>
    <t>COMPETENCIAS TÉCNICAS Y PROFESIONALES</t>
  </si>
  <si>
    <t>1. [Selección de organizaciones aliadas para el desarrollo de las capacitaciones y las certificaciones].</t>
  </si>
  <si>
    <t>N° de actividades realizadas</t>
  </si>
  <si>
    <t>2. Suscribir convenios con instituciones educativas locales y nacionales con el fin de acordar un marco de cooperación para la formación y capacitación laboral del capital humano local y nacional.</t>
  </si>
  <si>
    <t>N° de convenios</t>
  </si>
  <si>
    <t>N° de instituciones</t>
  </si>
  <si>
    <t>3. Diseñar en conjunto con las instituciones aliadas cursos de acuerdo a los perfiles de mano de obra calificada y no calificada requeridos por la empresa y sus proveedores.</t>
  </si>
  <si>
    <t>N° de cursos desarrollados</t>
  </si>
  <si>
    <t>4. [Desarrollar e implementar los cursos y las certificaciones].</t>
  </si>
  <si>
    <t>176 perspas que participaron del proceso formativo con el SENAI
358 personas que participaron de jornadas de certificación laboral</t>
  </si>
  <si>
    <t xml:space="preserve"> - 287 personas participantes de jornadas de certificación laboral
 - 18 personas participantes del curso de capacitación de auxiliar técnico electricista</t>
  </si>
  <si>
    <t>38 personas en el curso de instalador electricista domiciliario
En proceso de desarrollo (mes de agosto): cursos de cocina básica, refrigeración y climatización y 2 jornadas de certificación</t>
  </si>
  <si>
    <t>5. [Base de datos proporcionada a Talento Humano y empresas contratistas (cuando aplique)].</t>
  </si>
  <si>
    <t>N° de personas formadas</t>
  </si>
  <si>
    <t>1. Realizar un programa de educación financiera para los colaboradores (indígenas y no indígenas).</t>
  </si>
  <si>
    <t>90 personas beneficiadas con capacitación en Educación Finaniera (Forestal: 25 personas que fueron beneficiados con el programa de producción y 25 colaboradores de las empresas forestadoras (50 total)
Indígena: 20 personas que fueron beneficiados con el programa de producción y 20 colaboradores de las empresas forestadoras (40 total))</t>
  </si>
  <si>
    <t xml:space="preserve">En proceso: 150 personas a ser capacitadas
* Colab. Paracel: 25
* Colab. Indígenas: 25
* Colab. Forestal: 30
* Productores Forestal: 30
</t>
  </si>
  <si>
    <t>[Desarrollo de Capacidades]</t>
  </si>
  <si>
    <t>1. Seleccionar a las personas jóvenes conforme a criterios de elegibilidad.</t>
  </si>
  <si>
    <t>[N° de personas beneficiadas]</t>
  </si>
  <si>
    <t>15 personas</t>
  </si>
  <si>
    <t>2. Buscar aliados estratégicos para la implementación del proyecto de becas.</t>
  </si>
  <si>
    <t>[N° de instituciones aliadas]</t>
  </si>
  <si>
    <t>Escuela de Belén  (Fundación Paraguaya).</t>
  </si>
  <si>
    <t xml:space="preserve">3. [Acompañamiento a lo largo del año]. </t>
  </si>
  <si>
    <t>[Reporte de Calificaciones]</t>
  </si>
  <si>
    <t>A fin de año</t>
  </si>
  <si>
    <t>Programa de Sensibilización y Seguimiento a Contratistas y Trabajadores</t>
  </si>
  <si>
    <t>MEJORA EN LA GESTIÓN DE EMPRESAS CONTRATISTAS</t>
  </si>
  <si>
    <t xml:space="preserve">Asegurar el cumplimiento por parte de los proveedores de las políticas desarrolladas por Paracel con base a criterios éticos, sociales, ambientales, de derechos humanos y de salud y seguridad.  </t>
  </si>
  <si>
    <t xml:space="preserve">1. [Selección de empresas contratistas a ser auditadas (el número de empresas puede aumentar dependiendo de los hallazgos de No Conformidades)]. </t>
  </si>
  <si>
    <t>[N° de empresas auditadas </t>
  </si>
  <si>
    <t>53 auditorías e informes, 7 empresas alcanzadas</t>
  </si>
  <si>
    <t>63 auditorías e informes, 11 empresas alcanzadas sobre condiciones laborales, las condiciones de salud y seguridad, [temas ambientales, violencia de género] y las conductas de la empresa y sus grupos de interés</t>
  </si>
  <si>
    <t>14 auditorías e informes, 12 empresas alcanzadas</t>
  </si>
  <si>
    <t>Proporción de empresas auditadas con relación al número total de empresas] </t>
  </si>
  <si>
    <t xml:space="preserve">2. [Desarrollo de las auditorías trimestrales]. </t>
  </si>
  <si>
    <t>[N° total de No Conformidades clasificadas como mayores, menores. </t>
  </si>
  <si>
    <t>N° total de observaciones y oportunidades de mejora</t>
  </si>
  <si>
    <t>Porcentaje de cierre de No Conformidades por empresa y de manera general. </t>
  </si>
  <si>
    <t>Porcentaje de cumplimiento de plazos de cierre de No Conformidades por empresa y de manera general]. </t>
  </si>
  <si>
    <t>3. [Acompañamiento mensual para la revisión de los planes de acciones correctivas para el cierre de las No Conformidades detectadas].</t>
  </si>
  <si>
    <t>[Horas de acompañamiento por parte del equipo Social]. </t>
  </si>
  <si>
    <t>40 horas al mes</t>
  </si>
  <si>
    <t>55 horas al mes</t>
  </si>
  <si>
    <t>Asegurar la comprensión por parte de los contratistas y sus trabajadores de todas las políticas y prácticas desarrolladas por Paracel para proteger a las personas, sus derechos y cultura, al medio ambiente y a la comunidad, al realizar trabajos dentro, por y en nombre de Paracel. </t>
  </si>
  <si>
    <t>1. Desarrollar un plan de capacitación para la difusión de las políticas de Paracel en materia de Sustentabilidad Social, Derechos Humanos, Medio Ambiente, Ética, Salud y Seguridad Laboral, Código de Conducta, Código de Ética, Mecanismos de Quejas, Violencia Género, etc.  </t>
  </si>
  <si>
    <t>N° de capacitaciones planificadas </t>
  </si>
  <si>
    <t xml:space="preserve">3 capacitaciones  para la difusión de las políticas de Paracel en materia de Sustentabilidad Social </t>
  </si>
  <si>
    <t>En proceso, segundo semestre</t>
  </si>
  <si>
    <t>2. Desarrollar las capacitaciones conforme al plan de capacitación.</t>
  </si>
  <si>
    <t>[Número de personas participantes clasificados por organización, cargo, rango etario, sexo, comunidad, etnia. </t>
  </si>
  <si>
    <t xml:space="preserve">78 personas participantes en capacitaciones  para la difusión de las políticas de Paracel en materia de Sustentabilidad Social </t>
  </si>
  <si>
    <t> Número de horas de capacitación. </t>
  </si>
  <si>
    <t>6 horas</t>
  </si>
  <si>
    <t>Número de temas desarrollados.</t>
  </si>
  <si>
    <t>Número de expositores/as clasificadas por área y origen (interno/externo).</t>
  </si>
  <si>
    <t>2 expositores, internos</t>
  </si>
  <si>
    <t>Datos sobre conocimiento del tema antes de iniciar los talleres y conocimientos adquiridos posterior a los talleres.</t>
  </si>
  <si>
    <t>Porcentaje de participación con relación al número total de empresas y trabajadores/as].</t>
  </si>
  <si>
    <t>3. [Introducir en los materiales de inducción de colaboradores y colaboradoras directas e indirectas información sobre conductas apropiadas en la vinculación con comunidades indígenas y rurales]. </t>
  </si>
  <si>
    <t>[N° de materiales desarrollados] </t>
  </si>
  <si>
    <t xml:space="preserve">4. [Desarrollo de un material dirigido a contratistas sobre los principios establecidos en los estándares adoptados por Paracel (IFC, FSC, ISO26000 entre otros)]. </t>
  </si>
  <si>
    <t>[Material Desarrollado] 
[N° de empresas alcanzadas] </t>
  </si>
  <si>
    <t>Programa de Manejo Social</t>
  </si>
  <si>
    <t>MANEJO SOCIAL</t>
  </si>
  <si>
    <t xml:space="preserve">Acompañamiento y monitoreo de las comunidades para asegurar que las personas mantengan o mejoren su modo de vida. </t>
  </si>
  <si>
    <t>1. [Reuniones semestrales con los pobladores del ADA, AID y con las comunidades indígena para transferir información sobre Paracel, acompañar y monitorear la percepción de los mismos con relación a Paracel].</t>
  </si>
  <si>
    <t>[Número de personas participantes por comunidad clasificadas, por edad, sexo, franja etaria, comunidad, etnia]</t>
  </si>
  <si>
    <t>739 personas de comunidades del área industrial
215 personas de comunidades indígenas</t>
  </si>
  <si>
    <t>738 personas de comunidades del área industrial
201 personas de comunidades indígenas
363 personas de comunidades del área forestal</t>
  </si>
  <si>
    <t>314 personas del Área Forestal participaron en 32 reuniones
642 personas indígenas participaron en 19 reuniones.</t>
  </si>
  <si>
    <r>
      <t>[Materiales desarrollados].</t>
    </r>
    <r>
      <rPr>
        <b/>
        <sz val="10"/>
        <color rgb="FF000000"/>
        <rFont val="Arial"/>
        <family val="2"/>
      </rPr>
      <t> </t>
    </r>
  </si>
  <si>
    <r>
      <t>[Número de personas de las diferentes áreas de Paracel participantes].</t>
    </r>
    <r>
      <rPr>
        <b/>
        <sz val="10"/>
        <color rgb="FF000000"/>
        <rFont val="Arial"/>
        <family val="2"/>
      </rPr>
      <t> </t>
    </r>
  </si>
  <si>
    <t>2. [Toma de datos acerca de la percepción de las personas al finalizar el encuentro y datos sobre migración]. </t>
  </si>
  <si>
    <t>[Índice de percepción
Datos sobre Migración] </t>
  </si>
  <si>
    <t>FOR: registro de 51 percepciones.
INDIG: registro de 87 percepciones</t>
  </si>
  <si>
    <t xml:space="preserve">Promover y fortalecer la gobernanza de las comunidades y el entendimiento de los derechos de los pueblos indígenas. </t>
  </si>
  <si>
    <t>1. [Desarrollo de los programas de formación e incidencia a ser implementado]. </t>
  </si>
  <si>
    <r>
      <t>[Número de personas clasificadas por edad, sexo, comunidad, zona geográfica, etc. por taller. </t>
    </r>
    <r>
      <rPr>
        <b/>
        <sz val="10"/>
        <color rgb="FF000000"/>
        <rFont val="Arial"/>
        <family val="2"/>
      </rPr>
      <t> </t>
    </r>
  </si>
  <si>
    <t>29 personas participantes de las comunidades indígenas.</t>
  </si>
  <si>
    <t>Horas de taller. </t>
  </si>
  <si>
    <t>28 horas</t>
  </si>
  <si>
    <t>Cantidad de talleres.</t>
  </si>
  <si>
    <t>4 jornadas de capacitación sobre Liderazgo indígena en Yby Ya´u.</t>
  </si>
  <si>
    <t xml:space="preserve">2. [Promover la vinculación de líderes de las comunidades indígenas con instituciones locales, para fortalecer el desarrollo de capital social entre las comunidades indígenas y las instituciones y gobiernos locales]. </t>
  </si>
  <si>
    <t>[Cantidad de instituciones vinculadas, presentadas a los líderes y líderesas].</t>
  </si>
  <si>
    <t>[Promover espacios de diálogo y toma de decisiones de manera colectiva].  </t>
  </si>
  <si>
    <t>1. [Desarrollar dos visitas a las instalaciones de Paracel con grupos de interés claves de Paracel con el fin de conozcan el funcionamiento real de la compañía].  </t>
  </si>
  <si>
    <r>
      <t>[Número de personas participantes por comunidad clasificadas, por edad, sexo, franja etaria, comunidad, etnia.</t>
    </r>
    <r>
      <rPr>
        <b/>
        <sz val="10"/>
        <rFont val="Arial"/>
        <family val="2"/>
      </rPr>
      <t> </t>
    </r>
  </si>
  <si>
    <t>33 participantes, 14 autoridades municipales, 19 referentes de comunidades del áera de influencia</t>
  </si>
  <si>
    <t>Índice de percepción</t>
  </si>
  <si>
    <r>
      <t>Materiales desarrollados].</t>
    </r>
    <r>
      <rPr>
        <b/>
        <sz val="10"/>
        <color rgb="FF000000"/>
        <rFont val="Arial"/>
        <family val="2"/>
      </rPr>
      <t> </t>
    </r>
  </si>
  <si>
    <t>2. [Alinear expectativas de líderes y líderesas de comunidades indígenas y rurales a través de 2 reuniones anuales]. </t>
  </si>
  <si>
    <t>[Número de personas participantes por comunidad clasificadas, por edad, sexo, franja etaria, comunidad, etnia</t>
  </si>
  <si>
    <t>INDIG; 29 personas participantes de las comunidades indígenas.</t>
  </si>
  <si>
    <r>
      <rPr>
        <sz val="11"/>
        <rFont val="Calibri"/>
        <family val="2"/>
        <scheme val="minor"/>
      </rPr>
      <t>328</t>
    </r>
    <r>
      <rPr>
        <sz val="11"/>
        <color theme="1"/>
        <rFont val="Calibri"/>
        <family val="2"/>
        <scheme val="minor"/>
      </rPr>
      <t xml:space="preserve"> personas participantes de 12 comunidades.
INDIG: 30 personas de 14 comunidades indígenas.</t>
    </r>
  </si>
  <si>
    <t>N° de acuerdos</t>
  </si>
  <si>
    <t>Programa de Gestión del Patrimonio Cultural</t>
  </si>
  <si>
    <t xml:space="preserve"> PATRIMONIO CULTURAL</t>
  </si>
  <si>
    <t>[Establecer acciones para la gestión del Patrimonio Cultural] </t>
  </si>
  <si>
    <t>1. [Desarrollar materiales sobre el Protocolo de Hallazgos Fortuitos para introducirlos en los programas de inducción de colaboradores/as directas e indirectas]. </t>
  </si>
  <si>
    <t>[Cantidad de Materiales desarrollados] </t>
  </si>
  <si>
    <t>En proceso: 2 materiales (inducción TTHH para colaboradores directos de Paracel, e inducción con META para colaboradores de terceros)</t>
  </si>
  <si>
    <t>2. [Implementación de las capacitaciones en los procesos de inducción]. </t>
  </si>
  <si>
    <t xml:space="preserve">[N° de colaboradores/as capacitados (clasificados por edad, sexo, comunidad, área de trabajo, componente, etnia)]. </t>
  </si>
  <si>
    <t xml:space="preserve">20 colaboradores </t>
  </si>
  <si>
    <t xml:space="preserve">[N° de horas de capacitación]. </t>
  </si>
  <si>
    <t>4 horas</t>
  </si>
  <si>
    <t>Promover la revalorización y puesta en valor del patrimonio tangible e intangible, así como la identidad cultural de Concepción. </t>
  </si>
  <si>
    <t>1. [Seleccionar el museo a ser revitalizado según criterios de elegibilidad]. </t>
  </si>
  <si>
    <t>[Museo seleccionado] </t>
  </si>
  <si>
    <t xml:space="preserve"> 1 Museo Municipal ex Cuartel Villa Real </t>
  </si>
  <si>
    <t>3. [Firma de cartas de compromiso con el museo a intervenir]. </t>
  </si>
  <si>
    <t>[Carta de compromiso firmada] </t>
  </si>
  <si>
    <t xml:space="preserve">3. [Desarrollar e implementar las mejoras]. </t>
  </si>
  <si>
    <t xml:space="preserve">[N° de mejoras en infraestructura, procesos, servicios alcanzados con el proyecto (este dato debe ser reportado también en guaraníes)]. </t>
  </si>
  <si>
    <t xml:space="preserve">[Promover la revalorización y puesta en valor del patrimonio tangible e intangible, así como la identidad cultural de Concepción]. </t>
  </si>
  <si>
    <t>1. [Seleccionar a la comunidad indígena beneficiada conforme a criterios de elegibilidad].</t>
  </si>
  <si>
    <t xml:space="preserve">[N° de personas beneficiadas clasificadas por edad, sexo, etnia] </t>
  </si>
  <si>
    <t>2. [Contar con un convenio específico con el IPA, la Secretaría Nacional de Cultura y la Secretaria de Cultura de la Gobernación la implementación del proyecto].</t>
  </si>
  <si>
    <t xml:space="preserve">[Convenio/Acuerdo] </t>
  </si>
  <si>
    <t>Instituto Paraguayo de Artesanía y Gobernación de Concepción.</t>
  </si>
  <si>
    <t>3. [Desarrollo del proyecto en conjunto con las instituciones mencionadas y la comunidad indígena seleccionada].</t>
  </si>
  <si>
    <t>Guaraníes invertidos</t>
  </si>
  <si>
    <t>Gs invertidos por Paracel: 2.300.000
Gs invertidos en el departamento de Concepción: 3.268.643
Gs.invertidos por organizaciones aliadas: 968.643</t>
  </si>
  <si>
    <t>N° de artesanos/as formalizados</t>
  </si>
  <si>
    <t>En proceso en el segundo semestre 2024</t>
  </si>
  <si>
    <t>4. [Implementación del proyecto].</t>
  </si>
  <si>
    <t xml:space="preserve">[N° de artesanías rescatadas] </t>
  </si>
  <si>
    <t xml:space="preserve">[Tipo de material empleado] </t>
  </si>
  <si>
    <t xml:space="preserve">[Zona de recolección de insumos y materia prima]. </t>
  </si>
  <si>
    <t xml:space="preserve">[Volumen de producción por persona] </t>
  </si>
  <si>
    <t xml:space="preserve">[Volumen de producción de manera comunitaria] </t>
  </si>
  <si>
    <t>5. [Establecimiento de canales de Comercialización]</t>
  </si>
  <si>
    <t xml:space="preserve">[Volumen de ventas personas y comunitaria] </t>
  </si>
  <si>
    <t>[Proteger el patrimonio cultural] </t>
  </si>
  <si>
    <t>1. [Seleccionar a la empresa consultora].</t>
  </si>
  <si>
    <t xml:space="preserve">[N° de propuestas] </t>
  </si>
  <si>
    <t>1 consultor independiente</t>
  </si>
  <si>
    <t>1 consultor inependiente que conformó un equipo de especialistas para el estudio realizado</t>
  </si>
  <si>
    <t>2. [Desarrollar el estudio].</t>
  </si>
  <si>
    <t xml:space="preserve">[Estudio realizado] </t>
  </si>
  <si>
    <t>1 estudio realizado: relevamiento de datos respecto al patrimonio tangible de Concepción y Amambay y actualización del inventario de patrimonio material de Concepción</t>
  </si>
  <si>
    <t>2 Estudios realizados: Estancia Don Gaspar y Escuela Comunitaria San Rafael</t>
  </si>
  <si>
    <t xml:space="preserve">3. [Planificar acciones conforme al informe final del estudio]. </t>
  </si>
  <si>
    <t>[N° de acciones planificadas] </t>
  </si>
  <si>
    <t xml:space="preserve">[Promover la identidad cultural de la ciudad de Concepción] </t>
  </si>
  <si>
    <t>1. [Elaborar el plan de trabajo con la empresa proveedora seleccionada]</t>
  </si>
  <si>
    <t xml:space="preserve">[Plan de trabajo] </t>
  </si>
  <si>
    <t>Plan de trabajo elaborado</t>
  </si>
  <si>
    <t>2. [Desarrollo de talleres participativos con la población local].</t>
  </si>
  <si>
    <t>Número de personas participantes de los talleres desagregado por sexo, edad, etnia, comunidad, etc.</t>
  </si>
  <si>
    <t xml:space="preserve"> - 2 Talleres participativos con 35 personas (11 participantes en un solo taller y 24 participantes en ambos talleres).
 - 49 % hombres y 51% mujeres
 - 1 persona indígena
 - Rangos de edad: (menores a 30 años: 7, de 30 a 50 años: 16, más de 50 años: 12)</t>
  </si>
  <si>
    <t>3. [Presentación de propuestas de marca ciudad].</t>
  </si>
  <si>
    <t xml:space="preserve">[Propuesta presentada] </t>
  </si>
  <si>
    <t>Propuestas presentadas</t>
  </si>
  <si>
    <t>4. [Selección de la marca ciudad con la comunidad, SENATUR y la municipalidad].</t>
  </si>
  <si>
    <t xml:space="preserve">[Marca ciudad seleccionada] </t>
  </si>
  <si>
    <t>Marca seleccionada "Concepción, ciudad histórica del río y el sol"</t>
  </si>
  <si>
    <t>5. [Presentación de la marca ciudad a la población en general].</t>
  </si>
  <si>
    <t xml:space="preserve">[Monto de inversión directa o indirecta por parte de las organizaciones aliadas (por actividad)]. </t>
  </si>
  <si>
    <t xml:space="preserve"> - Municipalidad: 3 servicios de coffee por Gs.1.800.000
 - Paracel: Gs. 67.452.355
 </t>
  </si>
  <si>
    <t>Programa de Monitoreo Social</t>
  </si>
  <si>
    <t>MONITOREO SOCIAL</t>
  </si>
  <si>
    <t>[Medir los resultados finales e impacto de la implementación de los programas sociales].</t>
  </si>
  <si>
    <t xml:space="preserve"> 1. [Contar con indicadores socioeconómicos (nivel nacional y departamental) actualizados (2023 – 2024)]. </t>
  </si>
  <si>
    <t xml:space="preserve">[Indicadores económicos, indicadores sociales] </t>
  </si>
  <si>
    <t>indicadores socioeconómicos (nivel nacional y departamental) actualizados al 2023.</t>
  </si>
  <si>
    <t xml:space="preserve"> 2. [Contar con datos estadísticos sobre la situación socioeconómica (antes y después del ingreso a Paracel) del 85% de colaboradores/as de Paracel (directos/as e indirectos/as)]. </t>
  </si>
  <si>
    <t xml:space="preserve">[Indicadores socioeconómicos] </t>
  </si>
  <si>
    <t>1300 colaboradores/as encuestadas con información del ANTES y DESPUÉS de su ingreso a Paracel</t>
  </si>
  <si>
    <t xml:space="preserve">3.  [Medir los resultados finales y cuando aplique los impactos del 100% de los programas implementados por Paracel en el año 2024]. </t>
  </si>
  <si>
    <t>[Indicadores definidos por programa] </t>
  </si>
  <si>
    <t xml:space="preserve">4.  [Contar con indicadores de impacto del 100 % de empresas proveedoras de las operaciones forestales en el año 202]. </t>
  </si>
  <si>
    <t xml:space="preserve">[Monitorear la percepción social] </t>
  </si>
  <si>
    <t xml:space="preserve">1.  [Monitoreo de la percepción de 600 personas de las comunidades (encuesta panel) a finales del año 2024, sobre la gestión de Paracel en su área de influencia y con sus diferentes grupos de interés]. </t>
  </si>
  <si>
    <t xml:space="preserve">N° de personas encuestadas 
</t>
  </si>
  <si>
    <t>300 personas encuestadas sobre la Percepción y los avances de Paracel, en 6 comunidades: Concepción centro, Paso Barreto, Indígena Vy'a Renda, Anderi.</t>
  </si>
  <si>
    <t>A realizarse en el mes de noviembre</t>
  </si>
  <si>
    <t xml:space="preserve">2. [Realizar 1 un monitoreo anual sobre cambios en las costumbres y uso, afectación de servicios ecosistémicos, afectación de medios de subsistencia y/o la economía local, violencia y explotación sexual en las comunidades del área de influencia de Paracel]. </t>
  </si>
  <si>
    <t>N° de personas encuestadas </t>
  </si>
  <si>
    <t>Pevención y Gestión de Contingencias Sociales</t>
  </si>
  <si>
    <t>PREVENCIÓN Y GESTIÓN DE CONTINGENCIAS SOCIALES</t>
  </si>
  <si>
    <t>[Prevenir el desarrollo de incendios Forestales con foco en las comunidades].</t>
  </si>
  <si>
    <t>1.  [Desarrollo de capacitaciones/sensibilizaciones comunitarias sobre incendios forestales].</t>
  </si>
  <si>
    <t xml:space="preserve">N° de capacitaciones </t>
  </si>
  <si>
    <t>8 jornadas de capacitación  sobre incendios forestales</t>
  </si>
  <si>
    <t>9 jornadas de capacitación  sobre incendios forestales</t>
  </si>
  <si>
    <t xml:space="preserve">N° de personas alcanzadas clasificadas por edad y sexo </t>
  </si>
  <si>
    <t>195 personas capacitadas  ( de las comunidades indígenas de Takuarita, Takuarendyju y Vy´a Renda, y comunidades rurales de Jhugua Ñandu, San Rafael, así como algunos miembros de estancias vecinas)</t>
  </si>
  <si>
    <t>Meta: 500 personas capacitadas y sencibilizadas, en el mes de septiembre</t>
  </si>
  <si>
    <t xml:space="preserve">N° de comunidades </t>
  </si>
  <si>
    <t>5 comunidades</t>
  </si>
  <si>
    <t>9 comunidades</t>
  </si>
  <si>
    <t>Programa de Empoderamiento de la Mujer</t>
  </si>
  <si>
    <t>EMPODERAMIENTO DE LA MUJER</t>
  </si>
  <si>
    <t xml:space="preserve">[Desarrollar las bases para ser una empresa Segura, libre de violencia y Discriminación contra las mujeres] </t>
  </si>
  <si>
    <t xml:space="preserve">1. [Participar del lanzamiento de la edición 2024 "Sello Empresa Segura, libre de violencia y discriminación contra las mujeres”]. </t>
  </si>
  <si>
    <t xml:space="preserve">[No Aplica] </t>
  </si>
  <si>
    <t>Desde el Ministerio de la Mujer no hicieron el concurso este año.</t>
  </si>
  <si>
    <t xml:space="preserve">2. [Realizar la autoevaluación de los requisitos 2024 de manera interna]. </t>
  </si>
  <si>
    <t xml:space="preserve">[% de cumplimiento de Paracel] </t>
  </si>
  <si>
    <t xml:space="preserve">3. [Realizar la postulación a la edición 2024]. </t>
  </si>
  <si>
    <t xml:space="preserve">[Empresa Certificada] </t>
  </si>
  <si>
    <t>[Promover la igual de género y empoderar a todas las mujeres y las niñas].</t>
  </si>
  <si>
    <t>1. [Selección de las organizaciones aliadas].</t>
  </si>
  <si>
    <t xml:space="preserve">[N° de organizaciones aliadas] </t>
  </si>
  <si>
    <t>Convenio Marco Ministerio de la Mujer</t>
  </si>
  <si>
    <t>Consultoras: Paola Kolher y Catalina Chamorro, especialistas en Género.</t>
  </si>
  <si>
    <t>En proceso de firma.</t>
  </si>
  <si>
    <t>2. [Selección del contenido para los talleres y selección de las áreas geográficas y las personas beneficiadas].</t>
  </si>
  <si>
    <t>N° de temas a desarrollar</t>
  </si>
  <si>
    <t>2 Temas:
1) Concientización sobre la situación de la Mujer (indígena y no indígena) 
2) Liderazgo</t>
  </si>
  <si>
    <t>1 Tema: Mapa de riego y cuidados comunitarios.</t>
  </si>
  <si>
    <t xml:space="preserve">N° de mujeres beneficiadas </t>
  </si>
  <si>
    <t>60 mujeres participantes</t>
  </si>
  <si>
    <t>34 mujeres participantes</t>
  </si>
  <si>
    <t>N° de comunidades alcanzadas</t>
  </si>
  <si>
    <t>3. [Desarrollo e implementación de los talleres y medición de los resultados]. </t>
  </si>
  <si>
    <t>N° de mujeres participantes</t>
  </si>
  <si>
    <t>[Acercar los servicios desarrollados con foco en las mujeres a las comunidades del área de influencia de Paracel]</t>
  </si>
  <si>
    <t>1. [Desarrollo del cronograma de llegada y selección de las comunidades beneficiadas].</t>
  </si>
  <si>
    <t xml:space="preserve">[N° de comunidades alcanzadas] </t>
  </si>
  <si>
    <t>Se están planificndo las intervenciones con el Ministerio de la Mujer y Gobernación de Concepción, para 5 distritos.</t>
  </si>
  <si>
    <t>2. [Desarrollo de la asistencia y evaluación de los resultados].</t>
  </si>
  <si>
    <t>N° de servicios prestados</t>
  </si>
  <si>
    <t>N° de mujeres alcanzadas</t>
  </si>
  <si>
    <t>[Promover la contratación de mujeres en Paracel y empresas contratistas]</t>
  </si>
  <si>
    <t>1. [Desarrollar la guía para la contratación de mujeres].</t>
  </si>
  <si>
    <t xml:space="preserve">[Una guía desarrollada] </t>
  </si>
  <si>
    <t>Se encuentra en proceso de elaboración</t>
  </si>
  <si>
    <t>2. [Socialización e internalización de la guía con colaboradores de Paracel y con empresas contratistas].</t>
  </si>
  <si>
    <t>[N° de reuniones</t>
  </si>
  <si>
    <t>Depende de la actividad anterior</t>
  </si>
  <si>
    <t xml:space="preserve">N° de empresas alcanzadas] </t>
  </si>
  <si>
    <t>3. [Seguimiento de la implementación de la guía].</t>
  </si>
  <si>
    <t xml:space="preserve">[N° de mujeres contratadas] </t>
  </si>
  <si>
    <t>Programa de Seguridad Vial</t>
  </si>
  <si>
    <t>SEGURIDAD VIAL</t>
  </si>
  <si>
    <t>[Gestión de la seguridad vial a través de su pilar Usuarios de las vías de Transito más seguros]</t>
  </si>
  <si>
    <t xml:space="preserve">1. [Generar una alianza con los municipios de Concepción y Paso Horqueta en conjunto con la Agencia Nacional de Tránsito y Seguridad Vial para implementar tecnologías en las rutas]. </t>
  </si>
  <si>
    <t xml:space="preserve">[N° de alianzas desarrolladas] </t>
  </si>
  <si>
    <t>Memorandum de entendimiento con la Agencia Nacional de Tránsito desde el 2021 al 2024.</t>
  </si>
  <si>
    <t>Memorandum de entendimiento con la Agencia Nacional de Tránsito desde el 2021 al 2024.
Convenio firmado con la Cruz Roja Paraguaya.</t>
  </si>
  <si>
    <t>Firma de Convenio con la ANTSV a concretarse en el mes de Septiembre.
Convenio firmado con la Cruz Roja Paraguaya.</t>
  </si>
  <si>
    <t xml:space="preserve">2. [Buscar proveedores con experiencia en la implementación de tecnologías para la reducción de accidentes de tránsito y educación vial]. </t>
  </si>
  <si>
    <t xml:space="preserve">[N° de propuestas recibidas] </t>
  </si>
  <si>
    <t>A desarrollarse</t>
  </si>
  <si>
    <t xml:space="preserve">3. [Desarrollar jornadas de capacitación en las comunidades cercanas al sitio de planta industrial y en la ciudad de Concepción con el fin de educar sobre la tecnología implementada y seguridad vial]. </t>
  </si>
  <si>
    <t xml:space="preserve">[N° de personas que participaron de los talleres desagregadas por sexo, edad, etnia, comunidad, etc. </t>
  </si>
  <si>
    <t>Primeros auxilios y Educación vial: 102 personas alcanzadas con la Agencia Nacional de Tránsito</t>
  </si>
  <si>
    <r>
      <t>1.292 personas alcanzadas con 12 jornadas de capacitación sobre seguridad vial con la Agencia Nacional de Tránsito
512  personas capacitadas en 27 talleres de capacitación sobre Educación Vial en las comunidades del componente fore</t>
    </r>
    <r>
      <rPr>
        <sz val="11"/>
        <rFont val="Aptos Narrow"/>
        <family val="2"/>
      </rPr>
      <t>stal,e indígenas.</t>
    </r>
    <r>
      <rPr>
        <sz val="11"/>
        <color rgb="FF000000"/>
        <rFont val="Aptos Narrow"/>
        <family val="2"/>
      </rPr>
      <t xml:space="preserve">
Componente Indígena: 117 participantes.</t>
    </r>
  </si>
  <si>
    <t>736 personas participaron de los talleres de Educación Vial y  Primeros Auxilios Comunitarios con la CRP (de enro a marzo).
11 personas participaron en una jornada de Formadores de replicación de Educación Vial con la ANTSV.</t>
  </si>
  <si>
    <t>N° de comunidades que participaron de los talleres desagregado por tipo de comunidad.</t>
  </si>
  <si>
    <t>4 comunidades del componente industrial, fueron beneciciadas con capacitaciones de la ANTSV</t>
  </si>
  <si>
    <r>
      <rPr>
        <sz val="11"/>
        <color rgb="FF000000"/>
        <rFont val="Aptos Narrow"/>
        <family val="2"/>
      </rPr>
      <t xml:space="preserve">Comunidades del componente forestal, idustrial e indígenas </t>
    </r>
    <r>
      <rPr>
        <b/>
        <u val="double"/>
        <sz val="11"/>
        <color rgb="FF000000"/>
        <rFont val="Aptos Narrow"/>
        <family val="2"/>
      </rPr>
      <t>(no contamos con este indicador en el 2023)</t>
    </r>
  </si>
  <si>
    <t>Talleres con la CRP (enero a marzo): 
Comp. Forestal: 17 comunidades
Comp. Indígena: 2 comunidades
Taller de Formadores, participaron tres instituciones:
2 instituciones públicas.
1 institución civil.</t>
  </si>
  <si>
    <t>N° de horas de los talleres.</t>
  </si>
  <si>
    <t>8 horas desarrolladas</t>
  </si>
  <si>
    <t>No contamos con este indicador en el 2023</t>
  </si>
  <si>
    <t xml:space="preserve">
54 horas desarrolladas por la CRP (enero a marzo)
12 horas desarrolladas con la ANTSV</t>
  </si>
  <si>
    <t>N° de temas abordados en los talleres].</t>
  </si>
  <si>
    <t>5 temas desarrollados en las jornadas</t>
  </si>
  <si>
    <t xml:space="preserve">6 temas abordados por la CRP
5 temas abordados por la ANTSV
</t>
  </si>
  <si>
    <t>Taller de Formadores en Educación Vial: 23 temas desarrollados.
Taller de Educación Vial y Primeros Auxilios Comunitarios CRP: 6 temas desarrollados.</t>
  </si>
  <si>
    <t xml:space="preserve">[Implementación de la tecnología]. </t>
  </si>
  <si>
    <t>N° de puntos de la ciudad intervenidos con el uso de tecnología].</t>
  </si>
  <si>
    <t>[Tomas de datos para la línea de base y 6 meses después de la implementación].</t>
  </si>
  <si>
    <t xml:space="preserve">[N° de personas alcanzadas] </t>
  </si>
  <si>
    <t>102 personas alcanzadas en el componente industrial</t>
  </si>
  <si>
    <t>N/A</t>
  </si>
  <si>
    <t>Pendiente</t>
  </si>
  <si>
    <t>Programa de Manejo Interno por Afectación de Tierras y Riesgos por Agentes Externos</t>
  </si>
  <si>
    <t>SERVIDUMBRE DE PASO</t>
  </si>
  <si>
    <t xml:space="preserve">Desarrollo de protocolo de servidumbre de paso. </t>
  </si>
  <si>
    <t xml:space="preserve">1. Mapeo de las propiedades utilizadas como acceso y salida (componente forestal e indígena). </t>
  </si>
  <si>
    <t xml:space="preserve">N° de propiedades a ser utilizadas como servidumbre de paso </t>
  </si>
  <si>
    <t>21 propiedades vecinas mapeadas a ser utilizadas como servidumbre de paso</t>
  </si>
  <si>
    <t>11 propiedades nuevas en el componente industrial mapeadas para servidumbre de paso</t>
  </si>
  <si>
    <t>2. Elaboración de documentos para la firma de acuerdos de servidumbre de paso con los propietarios de los inmuebles a ser utilizados como acceso y salida.</t>
  </si>
  <si>
    <t xml:space="preserve">N° de documentos elaborados </t>
  </si>
  <si>
    <t>1 "Acuerdo de servidumbre de paso" validado por asesoria legal y logistica</t>
  </si>
  <si>
    <t xml:space="preserve">3. Emisión de un comunicado por parte de Paracel para garantizar que se respete el derecho de los pueblos indígenas para ingresar/salir de sus comunidades libremente y hacer uso de los caminos internos de la empresa.  </t>
  </si>
  <si>
    <t xml:space="preserve">N° de comunicados elaborados </t>
  </si>
  <si>
    <t xml:space="preserve">N° de comunicados emitidos </t>
  </si>
  <si>
    <t>1 comunicados emitidos</t>
  </si>
  <si>
    <t xml:space="preserve">4. Realizar reuniones de seguimiento con el área Forestal para garantizar el acceso a las propiedades de Paracel a los miembros de las comunidades indígenas. </t>
  </si>
  <si>
    <t xml:space="preserve">N° de Reuniones </t>
  </si>
  <si>
    <t>1 reunión</t>
  </si>
  <si>
    <t>4 reuniones</t>
  </si>
  <si>
    <t xml:space="preserve">N° de personas participantes </t>
  </si>
  <si>
    <t>7 personas</t>
  </si>
  <si>
    <t>5 pesronas en reuniones habituales, según tema a tratar</t>
  </si>
  <si>
    <t xml:space="preserve">5. Firma de los acuerdos con los propietarios para la gestión de servidumbre. </t>
  </si>
  <si>
    <t xml:space="preserve">N° de acuerdos firmados </t>
  </si>
  <si>
    <t xml:space="preserve">[Sensibilización en Materia de Derechos Humanos] </t>
  </si>
  <si>
    <t>1. Solicitar al área de compras/seguridad corporativa un informe trimestral sobre registros de entrenamiento en temas de Derechos Humanos a proveedores de servicios de seguridad y control de acceso. Paracel resguardará que estas personas no ejerzan “abusos de poder”].</t>
  </si>
  <si>
    <t xml:space="preserve">Número de personas trabajando en el área de seguridad y control de acceso (clasificadas, edad, sexo, comunidad, etnia, región, etc.) </t>
  </si>
  <si>
    <t>12 personas</t>
  </si>
  <si>
    <t>Número de personas formadas en materia de Derechos Humanos clasificados por edad, sexo, empresa, carga horaria, temas.</t>
  </si>
  <si>
    <t>2. Verificación trimestral en campo con el fin de validar el conocimiento de las personas en temas de Derechos Humanos.</t>
  </si>
  <si>
    <t>Número de verificaciones realizadas en campo clasificadas por empresas.</t>
  </si>
  <si>
    <t xml:space="preserve">Número de hallazgos en las verificaciones de campo. </t>
  </si>
  <si>
    <t>Número de cierre de hallazgos resultantes de las verificaciones en campo.</t>
  </si>
  <si>
    <t>Atender las posibles compensaciones que deban darse a las propiedades, en coordinación con la ANDE, en relación a la franja de seguridad vinculada a la construcción de la línea de transmisión (LT).</t>
  </si>
  <si>
    <t>1. Seguimiento del proceso de construcción de la línea de transmisión.</t>
  </si>
  <si>
    <t>N° de actividades de seguimento.</t>
  </si>
  <si>
    <t>En proceso para agosto 2024</t>
  </si>
  <si>
    <t>2. Desarrollo de un plan de reasentamiento en caso necesario (solo si aplica).</t>
  </si>
  <si>
    <t>N° de personas reasentadas.</t>
  </si>
  <si>
    <t xml:space="preserve">% de satisfacción de la población 
(Si Aplica) </t>
  </si>
  <si>
    <t>Plan de Comunicación</t>
  </si>
  <si>
    <t>1. Herramientas de difusión</t>
  </si>
  <si>
    <t>[Difundir información a la comunidad sobre los canales de comunicación de Paracel (quejas, consultas, sugerencias y puntos focales de la empresa)].</t>
  </si>
  <si>
    <t xml:space="preserve"> Renovación de los 4 paneles informativos instalados en el 2023
</t>
  </si>
  <si>
    <t>3 Nuevas Herramientas desarrolladas</t>
  </si>
  <si>
    <t xml:space="preserve">4 Paneles instalados en Hugua Ñandú, Paso Barreto, USF L.Petit y USF San Antonio
</t>
  </si>
  <si>
    <t>Renovación de 4 Paneles Informativos instalados en Hugua Ñandú, Paso Barreto,
 USF L.Petit y USF San Antonio y de sus informaciones correspondientes</t>
  </si>
  <si>
    <t>Renovación de la información de los paneles informativos</t>
  </si>
  <si>
    <t xml:space="preserve">Creación de nuevas herramientas de difusión y comunicación  </t>
  </si>
  <si>
    <t>1 Nueva Herramienta desarrollada e implementada: -12 Totems Informativos instalados en las comunidades de Redención, Mberyvo, Jeguahaty, Takuarendyju, Vy'a Renda,Takuarita</t>
  </si>
  <si>
    <t xml:space="preserve">Implementación de las nuevas herramientas
</t>
  </si>
  <si>
    <t>15 comunidades alcanzadas</t>
  </si>
  <si>
    <t>Monitoreo del estado de las herramientas implementadas</t>
  </si>
  <si>
    <t>10 comunidades alcanzadas: Hugua Ñandu, Paso Barreto, R. L Petit, San Antonio, Redención, Mberyvo, Jeguahaty, Takuarendyju, Vy'a Renda, Takuarita</t>
  </si>
  <si>
    <t>2. Reportes de Sostenibilidad</t>
  </si>
  <si>
    <t xml:space="preserve">Proveer información sobre el desempeño e impactos de Paracel en asuntos sociales, ambientales y económicos. </t>
  </si>
  <si>
    <t xml:space="preserve">A1: Recolección de datos según indicadores GRI </t>
  </si>
  <si>
    <t>+1000 personas alcanzadas</t>
  </si>
  <si>
    <t xml:space="preserve">
1Reporte de sostenibilidad 2022, elaborado y difundido en formato digital
1510 personas visitaron el reporte de sostenibilidad alojado en nuestro sitio web.
13.294 cuentas alcanzadas en redes sociales de la publicación invitando a leer el reporte.
</t>
  </si>
  <si>
    <r>
      <rPr>
        <b/>
        <sz val="10"/>
        <color rgb="FF000000"/>
        <rFont val="Arial"/>
        <family val="2"/>
      </rPr>
      <t xml:space="preserve">
DIFUSIÓN DIGITAL</t>
    </r>
    <r>
      <rPr>
        <sz val="10"/>
        <color rgb="FF000000"/>
        <rFont val="Arial"/>
        <family val="2"/>
      </rPr>
      <t>:
 1 Reporte de Sostenibilidad en Español publicado en todas las redes sociales y plataformas digitales internas y externas de Paracel con el siguiente alcance:
- Instagram: 3802
- Facebook:1136 
-Twitter:177
-Linkedin:6742
-Página web: 1222
-Envío vía mailing (instituciones aliadas, proveedores estratégicos y OEE):  74
-Envío en pendrives: 14 
1 Reporte de Sostenibilidad en Inglés publicado en todas las redes sociales y plataformas digitales internas y externas de Paracel con el siguiente alcance: 
- Instagram: 628
- Facebook: 573
-Twitter:35
-Página web: 319</t>
    </r>
  </si>
  <si>
    <t>A2:Redacción y revisión del material</t>
  </si>
  <si>
    <t xml:space="preserve">A3: Diagramación </t>
  </si>
  <si>
    <t>A4: Validación del material terminado por comité de evaluación</t>
  </si>
  <si>
    <r>
      <rPr>
        <b/>
        <sz val="10"/>
        <color rgb="FF000000"/>
        <rFont val="Arial"/>
        <family val="2"/>
      </rPr>
      <t>DIFUSIÓN FÍSICA</t>
    </r>
    <r>
      <rPr>
        <sz val="10"/>
        <color rgb="FF000000"/>
        <rFont val="Arial"/>
        <family val="2"/>
      </rPr>
      <t>: 89 ejemplares
 impresos del Reporte en Español, 
enviados a líderes comunitarios e indígenas</t>
    </r>
  </si>
  <si>
    <t xml:space="preserve">A5: Publicación del material final </t>
  </si>
  <si>
    <t>TOTAL DE PERSONAS ALCANZADAS:
14722</t>
  </si>
  <si>
    <t>3. Vinculación con potenciales proveedores</t>
  </si>
  <si>
    <t>Impulsar el desarrollo de proveedores locales y nacionales.</t>
  </si>
  <si>
    <t>A1: Eventos de vinculación de las empresas
 miembros del Programa de desarrollo
 de Proveedores Locales</t>
  </si>
  <si>
    <t xml:space="preserve">2 eventos en el año </t>
  </si>
  <si>
    <t>A2: Organizar eventos de socialización 
vinculación con potenciales proveedores
(medianos y grandes), Paracel y sus contratistas</t>
  </si>
  <si>
    <t>20 personas alcanzadas</t>
  </si>
  <si>
    <t xml:space="preserve">2 aliados </t>
  </si>
  <si>
    <t>4. Programa de Fomento Forestal</t>
  </si>
  <si>
    <t>Fomentar el desarrollo de productores 
forestales locales y atraer nuevas organizaciones 
al programa de Fomento Forestal.</t>
  </si>
  <si>
    <t>A1 Desarrollar la campaña del Programa de 
Fomento Forestal</t>
  </si>
  <si>
    <t>7000 personas alcanzadas</t>
  </si>
  <si>
    <t>3 Materiales desarrollados para el CEA y creación de una sección en la página Web.</t>
  </si>
  <si>
    <t>A2 Desarrollo de Materiales sobre el programa 
de Fomento Forestal y el Programa de Fomento Social</t>
  </si>
  <si>
    <t>A3 Implementación de la campaña</t>
  </si>
  <si>
    <t>5. Gestión de quejas, consultas 
y sugerencias</t>
  </si>
  <si>
    <t>A1 Visita a comunidades indígenas y
microterritorios para presentar los canales 
de gestión de quejas, consultas y sugerencias</t>
  </si>
  <si>
    <t xml:space="preserve">12 actividades de difusión al año </t>
  </si>
  <si>
    <t>3 difusiones en redes sociales y 2 comunicados internos</t>
  </si>
  <si>
    <r>
      <rPr>
        <sz val="11"/>
        <color rgb="FF000000"/>
        <rFont val="Calibri"/>
        <family val="2"/>
        <scheme val="minor"/>
      </rPr>
      <t xml:space="preserve">Actividades de difusión ya realizadas:
2 publicaciones en redes sociales
1 control y reordenamiento de los buzones (Oliver) 
1 charla interna instiucional a cargo
de Latifi Chelala 
2 Inclusiones de los canales de QCS en las presentaciones para inducción de colaboradores y contratistas
</t>
    </r>
    <r>
      <rPr>
        <b/>
        <sz val="11"/>
        <color rgb="FF000000"/>
        <rFont val="Calibri"/>
        <family val="2"/>
        <scheme val="minor"/>
      </rPr>
      <t xml:space="preserve">Total de actividades realizadas: 6 </t>
    </r>
  </si>
  <si>
    <t>A2 Publicación de canales disponibles 
en redes sociales de Paracel</t>
  </si>
  <si>
    <t xml:space="preserve">A3 Difundir los canales de quejas, sugerencias 
y consultas de manera interna en el ingreso de 
cada colaborador directo y de contratistas (inducciones)
</t>
  </si>
  <si>
    <t>A4 Control del estado de buzones y
mantenimiento anual</t>
  </si>
  <si>
    <t>6. Código de Ética</t>
  </si>
  <si>
    <t>Visualizar la cultura corporativa</t>
  </si>
  <si>
    <t>A1 Desarrollo de material audiovisual explicativo
 sobre el código de Ética</t>
  </si>
  <si>
    <t>1 material desarrollado І 10.000 personas alcanzadas</t>
  </si>
  <si>
    <t>4 publicaciones internas y 150 colaboradores alcanzados</t>
  </si>
  <si>
    <t>A2 Difusión del video y del material digital con 
públicos externos</t>
  </si>
  <si>
    <t>A3 Difusión del video y del material digital con 
público interno</t>
  </si>
  <si>
    <t>7. Reporte sobre contrataciones</t>
  </si>
  <si>
    <t xml:space="preserve">Proveer información sobre la gestión social de Paracel. </t>
  </si>
  <si>
    <t>A1 Generar reportes sobre las contrataciones
 y sus proveedores (bimensual)</t>
  </si>
  <si>
    <t>6 reportes / año</t>
  </si>
  <si>
    <t>6 reportes de contrataciones de Paracel</t>
  </si>
  <si>
    <t xml:space="preserve">3 reportes alcanzados </t>
  </si>
  <si>
    <t>8. Búsqueda corporativa</t>
  </si>
  <si>
    <t xml:space="preserve">Captar talentos. </t>
  </si>
  <si>
    <t xml:space="preserve">A1 Piezas gráficas para la búsqueda 
de nuevos colaboradores
</t>
  </si>
  <si>
    <t xml:space="preserve">12 reportes al año </t>
  </si>
  <si>
    <t>38 búsquedas corporativas</t>
  </si>
  <si>
    <t xml:space="preserve">37 publicaciones realizadas </t>
  </si>
  <si>
    <t>A2 Difusión de los canales de comunicación 
de la empresa</t>
  </si>
  <si>
    <t>9. Seguridad Vial</t>
  </si>
  <si>
    <t>Mitigar los impactos en la seguridad vial.</t>
  </si>
  <si>
    <t xml:space="preserve">A1 Desarrollo de materiales gráficos, 
audiovisuales e informacitivos
</t>
  </si>
  <si>
    <t>Mínimo 5 materiales / mínimo 4 difusiones</t>
  </si>
  <si>
    <t>1 tríptico y 24 columneros con materiales de comunicación sobre Seguridad Vial</t>
  </si>
  <si>
    <t>A2 Comunicación sobre el avance de
 obras viales y medidas de seguidad</t>
  </si>
  <si>
    <t>3 posteos + 4 comunicaciones en Pantallas LED</t>
  </si>
  <si>
    <t>A3 Diseño de señaléticas y carteles 
de seguridad vial</t>
  </si>
  <si>
    <t>A4 Desarrollo de un material de inducción
 sobre seguridad vial para colaboradores 
y contratistas</t>
  </si>
  <si>
    <t>A5 Reuniones sobre avance de obras</t>
  </si>
  <si>
    <t>10 Violencia y abuso sexual</t>
  </si>
  <si>
    <t>Promover la salud reproductiva y la igualdad de género.</t>
  </si>
  <si>
    <t>A1 Desarrollar videos y piezas gráficas para 
sensibilizar a las personas sobre los tipos de
 violencia hacia mujeres y niños</t>
  </si>
  <si>
    <t xml:space="preserve">Mínimo 2 materiales publicados </t>
  </si>
  <si>
    <t>2 materiales sobre violencia y abuso sexual</t>
  </si>
  <si>
    <t xml:space="preserve">1 video publicado </t>
  </si>
  <si>
    <t>A2 Desarrollar videos y piezas gráficas para
 capacitar a las personas sobre abuso sexual,
 niños, niñas y adolescentes</t>
  </si>
  <si>
    <t>11 Incendios Forestales</t>
  </si>
  <si>
    <t xml:space="preserve">Proteger el ecosistema terrestre. </t>
  </si>
  <si>
    <t>A1 Desarrollar materiales educativos sobre 
prevención de incendios forestales</t>
  </si>
  <si>
    <t>Mínimo 6 materiales desarrollados</t>
  </si>
  <si>
    <t>5 materiales desarrollados sobre incendios forestales (1 difusión en redes sociales y 2 boletines para el ADA/AID)</t>
  </si>
  <si>
    <t>1 gráfica publicada</t>
  </si>
  <si>
    <t>A2 Difusión de los materiales desarrollados</t>
  </si>
  <si>
    <t>12 Patrimonio Cultural</t>
  </si>
  <si>
    <t xml:space="preserve">Promover la revalorización y puesta en valor del Patrimonio Cultural y la identidad de Concepción. </t>
  </si>
  <si>
    <t xml:space="preserve">A1 Desarrollar materiales sobre el Protocolo de
 Hallazgos Fortuitos para programas de 
inducción de colaboradores directos e indirectos
</t>
  </si>
  <si>
    <t>Mínimo 4 materiales</t>
  </si>
  <si>
    <t>1 presentación para Colaboradores Internos
1 Presentación para Contratistas</t>
  </si>
  <si>
    <t>A2 Desarrollo de materiales educativos e
 informativos sobre Patrimonio Cultural</t>
  </si>
  <si>
    <t>Evento Marca Ciudad realizado</t>
  </si>
  <si>
    <t>A3 Apoyar el desarrollo del evento de
 presentación de Marca Ciudad Concepción</t>
  </si>
  <si>
    <t>TOTAL: 3 materiales realizados</t>
  </si>
  <si>
    <t>13 Políticas de Paracel</t>
  </si>
  <si>
    <t xml:space="preserve">Asegurar la compresión de las políticas y prácticas de Paracel. </t>
  </si>
  <si>
    <t>A1. Desarrollar materiales educativos 
sobre las políticas de Paracel</t>
  </si>
  <si>
    <t>Mínimo 9 materiales desarrollados</t>
  </si>
  <si>
    <t>6 materiales elaborados sobre Políticas de Paracel</t>
  </si>
  <si>
    <t>3 materiales elaborados: Políticas de Paracel: Pueblos Indígenas, Sustentabilidad Social y Ambiental, Manejo Forestal Sostenible</t>
  </si>
  <si>
    <t>14, Pueblos indígenas</t>
  </si>
  <si>
    <t xml:space="preserve">Vinculación formal con las comunidades indígenas y el respeto de los derechos de los pueblos indígenas. </t>
  </si>
  <si>
    <t>A1. Desarrollar materiales audiovisuales / gráficas para socialización de Paracel y sus avances con pueblos indígenas</t>
  </si>
  <si>
    <t>3 Materiales desarrollados, 10 comunidades alcanzadas</t>
  </si>
  <si>
    <t>1 material desarrollado sobre libre tránsito (Press Contratistas e Inducción)</t>
  </si>
  <si>
    <t>A2. Desarrollar materiales educativos sobre la cultura indígena orientado a colaboradores/as y empresas proveedores de Paracel</t>
  </si>
  <si>
    <t>A3. Desarrollar materiales para incorporar en las inducciones acerca de la política de Paracel sobre libre tránsito de comunidades indígenas</t>
  </si>
  <si>
    <t>15. Comunicación interna</t>
  </si>
  <si>
    <t xml:space="preserve">Organizar la comunicación interna.  
Fomentar el sentido de permanencia por parte del equipo de Paracel
</t>
  </si>
  <si>
    <t>A1. Actualización del plan de comunicación interna</t>
  </si>
  <si>
    <t xml:space="preserve">Meta gestionada por Talento Humano </t>
  </si>
  <si>
    <t>281 materiales elaborados para comunicación interna</t>
  </si>
  <si>
    <t>A2. Difusión del plan de comunicación interna</t>
  </si>
  <si>
    <t>A3. Actualización de la estructura en la intranet para la comunicación interna (cumpleaños, calendarios, noticias internas, etc.) y desarrollo de los materiales requeridos para el cumplimiento del plan</t>
  </si>
  <si>
    <t>16 Salud y Seguridad Laboral</t>
  </si>
  <si>
    <t xml:space="preserve">Crear una cultura de prevención. Reducir la siniestralidad. </t>
  </si>
  <si>
    <t>A1. Desarrollar materiales educativos sobre salud y seguridad laboral (uso de EPI’s, educación sobre señaléticas, etc.)</t>
  </si>
  <si>
    <t>2 materiales desarrollados
200 personas alcanzadas</t>
  </si>
  <si>
    <t>12 materiales educativos desarrollados sobre Salud y Seguridad Laboral, para 150 colaboradores directos</t>
  </si>
  <si>
    <t>3 materiales digitales enviados a público interno y contratistas
1 rediseño de presentación para inducción META</t>
  </si>
  <si>
    <t>A2. Difusión y comunicación</t>
  </si>
  <si>
    <t>17 Merchandising</t>
  </si>
  <si>
    <t>Posicionar la marca y el mensaje de Paracel.</t>
  </si>
  <si>
    <t>A1. Diseño de merchandising corporativo (obsequios corporativos con mención de marca e identidad corporativa).</t>
  </si>
  <si>
    <t>Mínimo 2 materiales elaborados</t>
  </si>
  <si>
    <t>32 merchandising desarrollados</t>
  </si>
  <si>
    <t>15 merchandising elaborados</t>
  </si>
  <si>
    <t>A2. Producción de los merchandising.</t>
  </si>
  <si>
    <t>A3. Diseño y producción de anotadores y calendarios</t>
  </si>
  <si>
    <t>18 Página WEB</t>
  </si>
  <si>
    <t xml:space="preserve">Mantener el sitio web actualizado </t>
  </si>
  <si>
    <t>A1 Actualización de la información de la página web</t>
  </si>
  <si>
    <t>10 actualizaciones al año / 10 noticias al año</t>
  </si>
  <si>
    <t>69 actualizaciones de la página WEB y 9 noticias publicadas</t>
  </si>
  <si>
    <t>4 actualizaciones
9 noticias publicadas</t>
  </si>
  <si>
    <t>19. Material institucional</t>
  </si>
  <si>
    <t xml:space="preserve">Sistematizar y organizar la información de Paracel. Unificar el mensaje. </t>
  </si>
  <si>
    <t>A1 Desarrollo de materiales institucionales</t>
  </si>
  <si>
    <t>Mínimo 10 materiales al mes (120 al año)</t>
  </si>
  <si>
    <t>1 tríptico de Paracel</t>
  </si>
  <si>
    <t>7 presentaciones institucionales (una por mes)</t>
  </si>
  <si>
    <t>1 rediseño de banners</t>
  </si>
  <si>
    <t>1 diseño de credenciales</t>
  </si>
  <si>
    <t>5 instructivos</t>
  </si>
  <si>
    <t>1 documento para registro de uso de imagen</t>
  </si>
  <si>
    <t>Total: 16 materiales desarrollados</t>
  </si>
  <si>
    <t>20, Audiovisuales</t>
  </si>
  <si>
    <t xml:space="preserve">Difundir información sobre Paracel </t>
  </si>
  <si>
    <t>A1 Cronograma de audiovisuales</t>
  </si>
  <si>
    <t>3 audiovisuales al mes / 36 al año</t>
  </si>
  <si>
    <t xml:space="preserve">16 materiales audiovisuales informativos ey educativos, desarrollados </t>
  </si>
  <si>
    <t>9 audiovisuales realizados</t>
  </si>
  <si>
    <t>A2 Desarrollo de audiovisuales</t>
  </si>
  <si>
    <t>21. Espacios informativos</t>
  </si>
  <si>
    <t>Difundir información sobre Paracel</t>
  </si>
  <si>
    <t>a1 Conversatorios direccionados para transmitir información a la población en general sobre Paracel</t>
  </si>
  <si>
    <t xml:space="preserve">5 conversatorios al año </t>
  </si>
  <si>
    <t>2 conversatorios ya realizados</t>
  </si>
  <si>
    <t>22. Media Training</t>
  </si>
  <si>
    <t xml:space="preserve">Contar con voceros/as entrenados/as que puedan transmitir de manera correcta la información al público en general.  </t>
  </si>
  <si>
    <t>A1. Revisión y actualización de la planilla de vocería de Paracel</t>
  </si>
  <si>
    <t xml:space="preserve">3 voceros capacitados
1 entrenamiento en el año </t>
  </si>
  <si>
    <t>1 planilla de vocería actualizada</t>
  </si>
  <si>
    <t>A2. Entrenar a las personas voceras y al equipo técnico de Paracel</t>
  </si>
  <si>
    <t>A3. Desarrollar un brief para situaciones de crisis</t>
  </si>
  <si>
    <t>23. Comisiones de trabajo</t>
  </si>
  <si>
    <t>Contar con las herramientas necesarias para el buen desarrollo de las actividades de las comisiones.</t>
  </si>
  <si>
    <t>A1 Materiales para las reuniones de comisión de seguimiento</t>
  </si>
  <si>
    <t>11 materiales desarrollados</t>
  </si>
  <si>
    <t>12 materiales desarrollados</t>
  </si>
  <si>
    <t>A2 Materiales para las reuniones de comisión de empoderamiento de la mujer</t>
  </si>
  <si>
    <t>24. Programa Informativo PARACEL</t>
  </si>
  <si>
    <t>Contar con una nueva herramienta de difusión de las acciones de Paracel.</t>
  </si>
  <si>
    <t>A1. Desarrollo de cápsulas con personas clave</t>
  </si>
  <si>
    <t>5 cápsulas desarrolladas</t>
  </si>
  <si>
    <t>A2 Difusión y comunicación de los materiales</t>
  </si>
  <si>
    <t>25. Comunicación Visual</t>
  </si>
  <si>
    <t xml:space="preserve">Estandarizar la marca, comunicación visual e identidad de Paracel. </t>
  </si>
  <si>
    <t>A1 Actualización de manuales de comunicación visual existentes (identidad corporativa, uniformes, cartelería/señaléticas)</t>
  </si>
  <si>
    <t>4 manuales desarrollados y actualizados</t>
  </si>
  <si>
    <t>A2 Desarrollo de manual de interiorismo corporativo (oficinas)</t>
  </si>
  <si>
    <t>A3 Desarrollo de manual de interiorismo corporativo (alojamientos)</t>
  </si>
  <si>
    <t>26. Cartelería/señaléticas</t>
  </si>
  <si>
    <t>a1 Relevamiento de cantidad y tipos de carteles/señaléticas existentes y necesarios en los diferentes componentes y áreas de paracel</t>
  </si>
  <si>
    <t xml:space="preserve">Registrar el 100% de carteles existentes
</t>
  </si>
  <si>
    <t>A2 registro e inventario de carteles/señaléticas existentes</t>
  </si>
  <si>
    <t>A3 desarrollo de carteles conforme al a1</t>
  </si>
  <si>
    <t>Responder al 100% de la necesidad de cartelería</t>
  </si>
  <si>
    <t>26 carteles creados (Necesidad 100% cubierta a la fecha)</t>
  </si>
  <si>
    <t>A4 control de materiales desarrollados - uestra de arte final</t>
  </si>
  <si>
    <t>A5 Instalación de carteles (según necesidad)</t>
  </si>
  <si>
    <t>A6 Monitoreo</t>
  </si>
  <si>
    <t>27. Plan de medios</t>
  </si>
  <si>
    <t xml:space="preserve">Utilizar canales de comunicación locales para lograr una mayor difusión de los datos e informaciones de Paracel. </t>
  </si>
  <si>
    <t>a1 Contratación de una agencia de medios</t>
  </si>
  <si>
    <t>Mínimo 1 presencia de Paracel 
en medios locales al mes (12/año)</t>
  </si>
  <si>
    <t>a2 Desarrollo del plan de medios con foco en medios de comunicación locales</t>
  </si>
  <si>
    <t>a3 Actualización del press clipping</t>
  </si>
  <si>
    <t>A4 Desarrollo de la agenda de medios</t>
  </si>
  <si>
    <t>28. Redes sociales</t>
  </si>
  <si>
    <t>Utilizar los canales de comunicación de Paracel para lograr una mayor difusión de los datos e informaciones de la empresa.</t>
  </si>
  <si>
    <t>A1 Desarrollo del plan de contenidos de redes sociales mensual</t>
  </si>
  <si>
    <t>Mínimo 108 publicaciones al año</t>
  </si>
  <si>
    <t>91 publicaciones realizadas</t>
  </si>
  <si>
    <t>A2 Desarrollo de piezas gráficas conforme al plan</t>
  </si>
  <si>
    <t>A3 Dfusión del Plan</t>
  </si>
  <si>
    <t>a4 Registro de redes sociales</t>
  </si>
  <si>
    <t>29. Eventos institucionales</t>
  </si>
  <si>
    <t>Presentar la marca a nivel institucional y atraer a potenciales aliados.</t>
  </si>
  <si>
    <t>A1. Planificación de los eventos de presencia institucional</t>
  </si>
  <si>
    <t xml:space="preserve">Mínimo 2 eventos / año </t>
  </si>
  <si>
    <t>Evento 1: Congreso Adec</t>
  </si>
  <si>
    <t>A2. Desarrollo de materiales para los eventos (según fecha de eventos)</t>
  </si>
  <si>
    <t>Evento 2: EXPO NORTE (EN CONSTRUCCIÓN)</t>
  </si>
  <si>
    <t>A3. Presencia en los eventos (según fecha de eventos)</t>
  </si>
  <si>
    <t>Evento 3: Feria San Pedro (en construcción)</t>
  </si>
  <si>
    <t>A4. Coordinación de presencia de marca con organizaciones de sociedad civil (ADEC, Sistema B, otros) (cuando aplique)</t>
  </si>
  <si>
    <t>Evento 4: Congreso Veterinaria Una - Concepción</t>
  </si>
  <si>
    <t>30, Materiales para el directorio</t>
  </si>
  <si>
    <t>Sistematización de la información entregada al Directorio de Paracel.</t>
  </si>
  <si>
    <t>A1 One Page mensual</t>
  </si>
  <si>
    <t xml:space="preserve">100 % de los reportes desarrollados. </t>
  </si>
  <si>
    <t>Cumplimiento del 100%</t>
  </si>
  <si>
    <t>Cumplimiento del 100% hasta la fecha</t>
  </si>
  <si>
    <t>a2 Reporte financiero (esp e ing)</t>
  </si>
  <si>
    <t>a3 Reporte financiero simplificado (esp e ingl)</t>
  </si>
  <si>
    <t>a4 Presentación para directorio</t>
  </si>
  <si>
    <t>registros de convenio firmados</t>
  </si>
  <si>
    <t>Fichas de recolección de datos</t>
  </si>
  <si>
    <t>Contabilización anual de los datos del registro de convenios</t>
  </si>
  <si>
    <t>Encuestas casa por casa</t>
  </si>
  <si>
    <t>registros de datos del proyecto de renta</t>
  </si>
  <si>
    <t>toma de datos por parte de los técnicos y técnicas de campo social</t>
  </si>
  <si>
    <t>Registros de trabajo de campo</t>
  </si>
  <si>
    <t>Herramienta de recoleccion de datos</t>
  </si>
  <si>
    <t>Herramienta/método para el análisis de datos</t>
  </si>
  <si>
    <t>base de datos</t>
  </si>
  <si>
    <t>registro de criterios de elegbilidad</t>
  </si>
  <si>
    <t>documento del plan</t>
  </si>
  <si>
    <t>contabilizacion de los planes</t>
  </si>
  <si>
    <t>ficha de recoleccion de datos</t>
  </si>
  <si>
    <t>registros de asistencia</t>
  </si>
  <si>
    <t>regsitro SAP</t>
  </si>
  <si>
    <t>base de datos del Área de Compras</t>
  </si>
  <si>
    <t>registro de trabajo de campo / registro de visita a obra</t>
  </si>
  <si>
    <t>Contrato entre Paracel y el pequeño productor</t>
  </si>
  <si>
    <t>contabilizacion de número de contratos</t>
  </si>
  <si>
    <t>Orden de compra y las hojas de servicio</t>
  </si>
  <si>
    <t>base de datos y evaluación presupuestaria</t>
  </si>
  <si>
    <t>Contrato</t>
  </si>
  <si>
    <t>Contrato entre Paracel y la empresa seleccionada</t>
  </si>
  <si>
    <t>contabilización de número de contratos</t>
  </si>
  <si>
    <t>registros del plan de comunicación</t>
  </si>
  <si>
    <t>registro de quejas / registro de análisis de pareto</t>
  </si>
  <si>
    <t>Análisis de pareto y base de datos</t>
  </si>
  <si>
    <t>registro de capacitacion</t>
  </si>
  <si>
    <t>registro de buzones</t>
  </si>
  <si>
    <t>registro del plan de comunicación</t>
  </si>
  <si>
    <t>cronograma de actividades</t>
  </si>
  <si>
    <t>registros de trabajo de campo / convenios / registros del ministerio de salud</t>
  </si>
  <si>
    <t>registros de asistencia médica</t>
  </si>
  <si>
    <t>registro de entrega de leche</t>
  </si>
  <si>
    <t>Registro de salud sexual y reproductiva, planificación familiar y prevención del VIH</t>
  </si>
  <si>
    <t>Contrato / acuerdo comercial</t>
  </si>
  <si>
    <t>Registro de trabajo de campo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</si>
</sst>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Calibri"/>
      <family val="2"/>
      <scheme val="minor"/>
    </font>
    <font>
      <b/>
      <sz val="11"/>
      <color theme="1"/>
      <name val="Calibri"/>
      <family val="2"/>
      <scheme val="minor"/>
    </font>
    <font>
      <b/>
      <sz val="14"/>
      <color theme="3" tint="-0.249977111117893"/>
      <name val="Helvetica Light"/>
    </font>
    <font>
      <b/>
      <sz val="11"/>
      <color theme="3" tint="-0.249977111117893"/>
      <name val="Calibri"/>
      <family val="2"/>
      <scheme val="minor"/>
    </font>
    <font>
      <sz val="11"/>
      <color theme="3" tint="-0.249977111117893"/>
      <name val="Calibri"/>
      <family val="2"/>
      <scheme val="minor"/>
    </font>
    <font>
      <b/>
      <u/>
      <sz val="12"/>
      <color theme="3" tint="-0.249977111117893"/>
      <name val="Helvetica Light"/>
    </font>
    <font>
      <b/>
      <sz val="12"/>
      <color theme="3" tint="-0.249977111117893"/>
      <name val="Helvetica Light"/>
    </font>
    <font>
      <sz val="11"/>
      <color theme="0"/>
      <name val="Calibri"/>
      <family val="2"/>
      <scheme val="minor"/>
    </font>
    <font>
      <b/>
      <sz val="11"/>
      <color theme="0"/>
      <name val="Calibri"/>
      <family val="2"/>
      <scheme val="minor"/>
    </font>
    <font>
      <sz val="10"/>
      <color theme="3" tint="-0.249977111117893"/>
      <name val="Arial"/>
      <family val="2"/>
    </font>
    <font>
      <b/>
      <sz val="10"/>
      <color theme="3" tint="-0.249977111117893"/>
      <name val="Arial"/>
      <family val="2"/>
    </font>
    <font>
      <sz val="10"/>
      <color theme="1"/>
      <name val="Calibri"/>
      <family val="2"/>
      <scheme val="minor"/>
    </font>
    <font>
      <sz val="10"/>
      <color theme="1"/>
      <name val="Calibri Light"/>
      <family val="2"/>
    </font>
    <font>
      <sz val="11"/>
      <color theme="1"/>
      <name val="Calibri Light"/>
      <family val="2"/>
    </font>
    <font>
      <sz val="11"/>
      <color theme="3" tint="-0.249977111117893"/>
      <name val="Calibri Light"/>
      <family val="2"/>
    </font>
    <font>
      <b/>
      <sz val="11"/>
      <color theme="1"/>
      <name val="Calibri Light"/>
      <family val="2"/>
    </font>
    <font>
      <sz val="11"/>
      <color theme="0"/>
      <name val="Calibri Light"/>
      <family val="2"/>
    </font>
    <font>
      <b/>
      <sz val="11"/>
      <color theme="0"/>
      <name val="Calibri Light"/>
      <family val="2"/>
    </font>
    <font>
      <sz val="22"/>
      <color rgb="FFFF10B9"/>
      <name val="Helvetica"/>
      <family val="2"/>
    </font>
    <font>
      <sz val="11"/>
      <color rgb="FF000000"/>
      <name val="Calibri Light"/>
      <family val="2"/>
    </font>
    <font>
      <b/>
      <sz val="11"/>
      <color theme="3" tint="-0.249977111117893"/>
      <name val="Calibri Light"/>
      <family val="2"/>
    </font>
    <font>
      <sz val="11"/>
      <color rgb="FFFF0000"/>
      <name val="Calibri"/>
      <family val="2"/>
      <scheme val="minor"/>
    </font>
    <font>
      <b/>
      <sz val="11"/>
      <name val="Calibri"/>
      <family val="2"/>
      <scheme val="minor"/>
    </font>
    <font>
      <sz val="22"/>
      <name val="Helvetica"/>
      <family val="2"/>
    </font>
    <font>
      <sz val="11"/>
      <name val="Calibri"/>
      <family val="2"/>
      <scheme val="minor"/>
    </font>
    <font>
      <b/>
      <sz val="14"/>
      <name val="Helvetica Light"/>
    </font>
    <font>
      <b/>
      <u/>
      <sz val="12"/>
      <name val="Helvetica Light"/>
    </font>
    <font>
      <b/>
      <sz val="12"/>
      <name val="Helvetica Light"/>
    </font>
    <font>
      <sz val="11"/>
      <color rgb="FFFF0000"/>
      <name val="Calibri Light"/>
      <family val="2"/>
    </font>
    <font>
      <b/>
      <sz val="11"/>
      <color rgb="FFFF0000"/>
      <name val="Calibri"/>
      <family val="2"/>
      <scheme val="minor"/>
    </font>
    <font>
      <sz val="11"/>
      <name val="Calibri Light"/>
      <family val="2"/>
    </font>
    <font>
      <b/>
      <sz val="11"/>
      <color rgb="FFFFFFFF"/>
      <name val="Aptos Narrow"/>
      <family val="2"/>
    </font>
    <font>
      <sz val="11"/>
      <color rgb="FF000000"/>
      <name val="Aptos Narrow"/>
      <family val="2"/>
    </font>
    <font>
      <b/>
      <sz val="11"/>
      <color rgb="FF000000"/>
      <name val="Aptos Narrow"/>
      <family val="2"/>
    </font>
    <font>
      <b/>
      <sz val="12"/>
      <color rgb="FF000000"/>
      <name val="Aptos Narrow"/>
      <family val="2"/>
    </font>
    <font>
      <sz val="11"/>
      <name val="Aptos Narrow"/>
      <family val="2"/>
    </font>
    <font>
      <sz val="10"/>
      <color theme="1"/>
      <name val="Arial"/>
      <family val="2"/>
    </font>
    <font>
      <i/>
      <sz val="10"/>
      <color theme="1"/>
      <name val="Times New Roman"/>
      <family val="1"/>
    </font>
    <font>
      <sz val="10"/>
      <color rgb="FF000000"/>
      <name val="Arial"/>
      <family val="2"/>
    </font>
    <font>
      <b/>
      <sz val="10"/>
      <color rgb="FF000000"/>
      <name val="Arial"/>
      <family val="2"/>
    </font>
    <font>
      <b/>
      <sz val="10"/>
      <name val="Arial"/>
      <family val="2"/>
    </font>
    <font>
      <sz val="11"/>
      <color rgb="FFFF0000"/>
      <name val="Aptos Narrow"/>
      <family val="2"/>
    </font>
    <font>
      <b/>
      <sz val="11"/>
      <name val="Aptos Narrow"/>
      <family val="2"/>
    </font>
    <font>
      <sz val="11"/>
      <color rgb="FF000000"/>
      <name val="Calibri"/>
      <family val="2"/>
      <scheme val="minor"/>
    </font>
    <font>
      <b/>
      <sz val="11"/>
      <color rgb="FF000000"/>
      <name val="Calibri"/>
      <family val="2"/>
      <scheme val="minor"/>
    </font>
    <font>
      <sz val="11"/>
      <color rgb="FF000000"/>
      <name val="Calibri"/>
      <family val="2"/>
    </font>
    <font>
      <sz val="9"/>
      <name val="Arial"/>
      <family val="2"/>
    </font>
    <font>
      <sz val="8"/>
      <name val="Calibri"/>
      <family val="2"/>
      <scheme val="minor"/>
    </font>
    <font>
      <b/>
      <u val="double"/>
      <sz val="11"/>
      <color rgb="FF000000"/>
      <name val="Aptos Narrow"/>
      <family val="2"/>
    </font>
    <font>
      <b/>
      <u/>
      <sz val="11"/>
      <color rgb="FF000000"/>
      <name val="Calibri"/>
      <family val="2"/>
      <scheme val="minor"/>
    </font>
  </fonts>
  <fills count="41">
    <fill>
      <patternFill patternType="none"/>
    </fill>
    <fill>
      <patternFill patternType="gray125"/>
    </fill>
    <fill>
      <patternFill patternType="solid">
        <fgColor theme="0" tint="-0.34998626667073579"/>
        <bgColor indexed="64"/>
      </patternFill>
    </fill>
    <fill>
      <patternFill patternType="solid">
        <fgColor rgb="FF00B050"/>
        <bgColor indexed="64"/>
      </patternFill>
    </fill>
    <fill>
      <patternFill patternType="solid">
        <fgColor theme="0"/>
        <bgColor indexed="64"/>
      </patternFill>
    </fill>
    <fill>
      <patternFill patternType="solid">
        <fgColor rgb="FF7BFF51"/>
        <bgColor indexed="64"/>
      </patternFill>
    </fill>
    <fill>
      <patternFill patternType="solid">
        <fgColor rgb="FFFA7388"/>
        <bgColor indexed="64"/>
      </patternFill>
    </fill>
    <fill>
      <patternFill patternType="solid">
        <fgColor rgb="FFEFFA62"/>
        <bgColor indexed="64"/>
      </patternFill>
    </fill>
    <fill>
      <patternFill patternType="solid">
        <fgColor rgb="FFFF10B9"/>
        <bgColor indexed="64"/>
      </patternFill>
    </fill>
    <fill>
      <patternFill patternType="solid">
        <fgColor rgb="FFFF5996"/>
        <bgColor indexed="64"/>
      </patternFill>
    </fill>
    <fill>
      <patternFill patternType="solid">
        <fgColor theme="2" tint="-0.499984740745262"/>
        <bgColor indexed="64"/>
      </patternFill>
    </fill>
    <fill>
      <patternFill patternType="solid">
        <fgColor rgb="FFFFFF00"/>
        <bgColor indexed="64"/>
      </patternFill>
    </fill>
    <fill>
      <patternFill patternType="solid">
        <fgColor rgb="FFC1FFBC"/>
        <bgColor indexed="64"/>
      </patternFill>
    </fill>
    <fill>
      <patternFill patternType="solid">
        <fgColor rgb="FFFF6FCA"/>
        <bgColor indexed="64"/>
      </patternFill>
    </fill>
    <fill>
      <patternFill patternType="solid">
        <fgColor rgb="FFFFE722"/>
        <bgColor indexed="64"/>
      </patternFill>
    </fill>
    <fill>
      <patternFill patternType="solid">
        <fgColor rgb="FFFFFF57"/>
        <bgColor indexed="64"/>
      </patternFill>
    </fill>
    <fill>
      <patternFill patternType="solid">
        <fgColor theme="1"/>
        <bgColor indexed="64"/>
      </patternFill>
    </fill>
    <fill>
      <patternFill patternType="solid">
        <fgColor rgb="FFFF0000"/>
        <bgColor indexed="64"/>
      </patternFill>
    </fill>
    <fill>
      <patternFill patternType="solid">
        <fgColor rgb="FF275317"/>
        <bgColor rgb="FF000000"/>
      </patternFill>
    </fill>
    <fill>
      <patternFill patternType="solid">
        <fgColor rgb="FFB5E6A2"/>
        <bgColor rgb="FF000000"/>
      </patternFill>
    </fill>
    <fill>
      <patternFill patternType="solid">
        <fgColor rgb="FFF1F395"/>
        <bgColor rgb="FF000000"/>
      </patternFill>
    </fill>
    <fill>
      <patternFill patternType="solid">
        <fgColor rgb="FFA6C9EC"/>
        <bgColor rgb="FF000000"/>
      </patternFill>
    </fill>
    <fill>
      <patternFill patternType="solid">
        <fgColor rgb="FFF7C7AC"/>
        <bgColor rgb="FF000000"/>
      </patternFill>
    </fill>
    <fill>
      <patternFill patternType="solid">
        <fgColor rgb="FF92D050"/>
        <bgColor rgb="FF000000"/>
      </patternFill>
    </fill>
    <fill>
      <patternFill patternType="solid">
        <fgColor rgb="FFFFC000"/>
        <bgColor rgb="FF000000"/>
      </patternFill>
    </fill>
    <fill>
      <patternFill patternType="solid">
        <fgColor rgb="FFA1A0C6"/>
        <bgColor rgb="FF000000"/>
      </patternFill>
    </fill>
    <fill>
      <patternFill patternType="solid">
        <fgColor rgb="FFBE5014"/>
        <bgColor rgb="FF000000"/>
      </patternFill>
    </fill>
    <fill>
      <patternFill patternType="solid">
        <fgColor rgb="FFD86DCD"/>
        <bgColor rgb="FF000000"/>
      </patternFill>
    </fill>
    <fill>
      <patternFill patternType="solid">
        <fgColor rgb="FFE8E8E8"/>
        <bgColor rgb="FF000000"/>
      </patternFill>
    </fill>
    <fill>
      <patternFill patternType="solid">
        <fgColor rgb="FF88DADE"/>
        <bgColor rgb="FF000000"/>
      </patternFill>
    </fill>
    <fill>
      <patternFill patternType="solid">
        <fgColor rgb="FF8787FB"/>
        <bgColor rgb="FF000000"/>
      </patternFill>
    </fill>
    <fill>
      <patternFill patternType="solid">
        <fgColor rgb="FFE1F472"/>
        <bgColor rgb="FF000000"/>
      </patternFill>
    </fill>
    <fill>
      <patternFill patternType="solid">
        <fgColor theme="5" tint="0.39997558519241921"/>
        <bgColor rgb="FF000000"/>
      </patternFill>
    </fill>
    <fill>
      <patternFill patternType="solid">
        <fgColor rgb="FFFF10B9"/>
        <bgColor rgb="FF000000"/>
      </patternFill>
    </fill>
    <fill>
      <patternFill patternType="solid">
        <fgColor rgb="FFFFFFFF"/>
        <bgColor indexed="64"/>
      </patternFill>
    </fill>
    <fill>
      <patternFill patternType="solid">
        <fgColor rgb="FFFFC000"/>
        <bgColor indexed="64"/>
      </patternFill>
    </fill>
    <fill>
      <patternFill patternType="solid">
        <fgColor theme="0" tint="-0.14999847407452621"/>
        <bgColor indexed="64"/>
      </patternFill>
    </fill>
    <fill>
      <patternFill patternType="solid">
        <fgColor theme="2"/>
        <bgColor indexed="64"/>
      </patternFill>
    </fill>
    <fill>
      <patternFill patternType="solid">
        <fgColor rgb="FF66FFFF"/>
        <bgColor indexed="64"/>
      </patternFill>
    </fill>
    <fill>
      <patternFill patternType="solid">
        <fgColor theme="0" tint="-4.9989318521683403E-2"/>
        <bgColor indexed="64"/>
      </patternFill>
    </fill>
    <fill>
      <patternFill patternType="solid">
        <fgColor theme="4" tint="0.59999389629810485"/>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rgb="FF000000"/>
      </left>
      <right style="thin">
        <color rgb="FF000000"/>
      </right>
      <top style="thin">
        <color indexed="64"/>
      </top>
      <bottom/>
      <diagonal/>
    </border>
  </borders>
  <cellStyleXfs count="1">
    <xf numFmtId="0" fontId="0" fillId="0" borderId="0"/>
  </cellStyleXfs>
  <cellXfs count="607">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0" fillId="3" borderId="0" xfId="0" applyFill="1"/>
    <xf numFmtId="0" fontId="0" fillId="4" borderId="0" xfId="0" applyFill="1"/>
    <xf numFmtId="0" fontId="0" fillId="2" borderId="0" xfId="0" applyFill="1"/>
    <xf numFmtId="0" fontId="0" fillId="0" borderId="0" xfId="0" applyAlignment="1">
      <alignment vertical="center"/>
    </xf>
    <xf numFmtId="0" fontId="0" fillId="4" borderId="1" xfId="0" applyFill="1" applyBorder="1"/>
    <xf numFmtId="0" fontId="0" fillId="0" borderId="1" xfId="0" applyBorder="1"/>
    <xf numFmtId="0" fontId="0" fillId="0" borderId="1" xfId="0" applyBorder="1" applyAlignment="1">
      <alignment vertical="center" wrapText="1"/>
    </xf>
    <xf numFmtId="0" fontId="4" fillId="6" borderId="1" xfId="0" applyFont="1" applyFill="1" applyBorder="1" applyAlignment="1">
      <alignment vertical="center" wrapText="1"/>
    </xf>
    <xf numFmtId="0" fontId="0" fillId="0" borderId="1" xfId="0" applyBorder="1" applyAlignment="1">
      <alignment vertical="center"/>
    </xf>
    <xf numFmtId="0" fontId="1" fillId="0" borderId="1" xfId="0" applyFont="1" applyBorder="1" applyAlignment="1">
      <alignment vertical="center" wrapText="1"/>
    </xf>
    <xf numFmtId="0" fontId="3" fillId="6" borderId="1" xfId="0" applyFont="1" applyFill="1" applyBorder="1" applyAlignment="1">
      <alignment vertical="top"/>
    </xf>
    <xf numFmtId="0" fontId="4" fillId="6" borderId="1" xfId="0" applyFont="1" applyFill="1" applyBorder="1" applyAlignment="1">
      <alignment vertical="top" wrapText="1"/>
    </xf>
    <xf numFmtId="0" fontId="4" fillId="6" borderId="1" xfId="0" applyFont="1" applyFill="1" applyBorder="1" applyAlignment="1">
      <alignment vertical="top"/>
    </xf>
    <xf numFmtId="0" fontId="4" fillId="6" borderId="1" xfId="0" applyFont="1" applyFill="1" applyBorder="1" applyAlignment="1">
      <alignment vertical="center"/>
    </xf>
    <xf numFmtId="0" fontId="0" fillId="0" borderId="1" xfId="0" applyBorder="1" applyAlignment="1">
      <alignment vertical="top" wrapText="1"/>
    </xf>
    <xf numFmtId="0" fontId="9" fillId="6" borderId="1" xfId="0" applyFont="1" applyFill="1" applyBorder="1" applyAlignment="1">
      <alignment vertical="top" wrapText="1"/>
    </xf>
    <xf numFmtId="0" fontId="3" fillId="6" borderId="1" xfId="0" applyFont="1" applyFill="1" applyBorder="1" applyAlignment="1">
      <alignment vertical="center" wrapText="1"/>
    </xf>
    <xf numFmtId="0" fontId="0" fillId="10" borderId="0" xfId="0" applyFill="1"/>
    <xf numFmtId="0" fontId="7" fillId="10" borderId="0" xfId="0" applyFont="1" applyFill="1"/>
    <xf numFmtId="0" fontId="4" fillId="10" borderId="0" xfId="0" applyFont="1" applyFill="1" applyAlignment="1">
      <alignment vertical="center" wrapText="1"/>
    </xf>
    <xf numFmtId="0" fontId="0" fillId="10" borderId="0" xfId="0" applyFill="1" applyAlignment="1">
      <alignment vertical="top"/>
    </xf>
    <xf numFmtId="0" fontId="0" fillId="10" borderId="0" xfId="0" applyFill="1" applyAlignment="1">
      <alignment horizontal="left" vertical="top"/>
    </xf>
    <xf numFmtId="0" fontId="16" fillId="10" borderId="0" xfId="0" applyFont="1" applyFill="1"/>
    <xf numFmtId="0" fontId="13" fillId="10" borderId="0" xfId="0" applyFont="1" applyFill="1"/>
    <xf numFmtId="0" fontId="0" fillId="12" borderId="0" xfId="0" applyFill="1"/>
    <xf numFmtId="0" fontId="13" fillId="12" borderId="0" xfId="0" applyFont="1" applyFill="1"/>
    <xf numFmtId="0" fontId="13" fillId="0" borderId="1" xfId="0" applyFont="1" applyBorder="1" applyAlignment="1">
      <alignment vertical="center" wrapText="1"/>
    </xf>
    <xf numFmtId="0" fontId="13" fillId="6" borderId="1" xfId="0" applyFont="1" applyFill="1" applyBorder="1" applyAlignment="1">
      <alignment vertical="center"/>
    </xf>
    <xf numFmtId="0" fontId="1" fillId="12" borderId="0" xfId="0" applyFont="1" applyFill="1"/>
    <xf numFmtId="0" fontId="13" fillId="6" borderId="2" xfId="0" applyFont="1" applyFill="1" applyBorder="1" applyAlignment="1">
      <alignment vertical="center"/>
    </xf>
    <xf numFmtId="0" fontId="13" fillId="6" borderId="2" xfId="0" applyFont="1" applyFill="1" applyBorder="1" applyAlignment="1">
      <alignment vertical="center" wrapText="1"/>
    </xf>
    <xf numFmtId="0" fontId="14" fillId="6" borderId="1" xfId="0" applyFont="1" applyFill="1" applyBorder="1" applyAlignment="1">
      <alignment vertical="center" wrapText="1"/>
    </xf>
    <xf numFmtId="0" fontId="14" fillId="6" borderId="1" xfId="0" applyFont="1" applyFill="1" applyBorder="1" applyAlignment="1">
      <alignment vertical="center"/>
    </xf>
    <xf numFmtId="0" fontId="13" fillId="8" borderId="1" xfId="0" applyFont="1" applyFill="1" applyBorder="1" applyAlignment="1">
      <alignment vertical="center" wrapText="1"/>
    </xf>
    <xf numFmtId="0" fontId="13" fillId="8" borderId="1" xfId="0" applyFont="1" applyFill="1" applyBorder="1" applyAlignment="1">
      <alignment vertical="center"/>
    </xf>
    <xf numFmtId="0" fontId="0" fillId="2" borderId="1" xfId="0" applyFill="1" applyBorder="1"/>
    <xf numFmtId="0" fontId="13" fillId="6" borderId="1" xfId="0" applyFont="1" applyFill="1" applyBorder="1" applyAlignment="1">
      <alignment vertical="center" wrapText="1"/>
    </xf>
    <xf numFmtId="0" fontId="13" fillId="2" borderId="0" xfId="0" applyFont="1" applyFill="1"/>
    <xf numFmtId="0" fontId="11" fillId="10" borderId="0" xfId="0" applyFont="1" applyFill="1"/>
    <xf numFmtId="0" fontId="13" fillId="6" borderId="1" xfId="0" applyFont="1" applyFill="1" applyBorder="1" applyAlignment="1">
      <alignment horizontal="left" vertical="center" wrapText="1"/>
    </xf>
    <xf numFmtId="0" fontId="13" fillId="6" borderId="1" xfId="0" applyFont="1" applyFill="1" applyBorder="1"/>
    <xf numFmtId="0" fontId="13" fillId="0" borderId="1" xfId="0" applyFont="1" applyBorder="1" applyAlignment="1">
      <alignment wrapText="1"/>
    </xf>
    <xf numFmtId="0" fontId="13" fillId="6" borderId="1" xfId="0" applyFont="1" applyFill="1" applyBorder="1" applyAlignment="1">
      <alignment horizontal="left" vertical="center"/>
    </xf>
    <xf numFmtId="0" fontId="16" fillId="10" borderId="0" xfId="0" applyFont="1" applyFill="1" applyAlignment="1">
      <alignment vertical="top"/>
    </xf>
    <xf numFmtId="0" fontId="13" fillId="9" borderId="0" xfId="0" applyFont="1" applyFill="1" applyAlignment="1">
      <alignment vertical="center"/>
    </xf>
    <xf numFmtId="0" fontId="13" fillId="9" borderId="1" xfId="0" applyFont="1" applyFill="1" applyBorder="1" applyAlignment="1">
      <alignment vertical="center" wrapText="1"/>
    </xf>
    <xf numFmtId="0" fontId="13" fillId="9" borderId="1" xfId="0" applyFont="1" applyFill="1" applyBorder="1"/>
    <xf numFmtId="0" fontId="13" fillId="9" borderId="1" xfId="0" applyFont="1" applyFill="1" applyBorder="1" applyAlignment="1">
      <alignment vertical="center"/>
    </xf>
    <xf numFmtId="0" fontId="13" fillId="9" borderId="1" xfId="0" applyFont="1" applyFill="1" applyBorder="1" applyAlignment="1">
      <alignment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9" borderId="1" xfId="0" applyFill="1" applyBorder="1" applyAlignment="1">
      <alignment vertical="center" wrapText="1"/>
    </xf>
    <xf numFmtId="0" fontId="13" fillId="8" borderId="1" xfId="0" applyFont="1" applyFill="1" applyBorder="1"/>
    <xf numFmtId="0" fontId="0" fillId="8" borderId="1" xfId="0" applyFill="1" applyBorder="1" applyAlignment="1">
      <alignment horizontal="left" vertical="center"/>
    </xf>
    <xf numFmtId="0" fontId="0" fillId="8" borderId="1" xfId="0" applyFill="1" applyBorder="1" applyAlignment="1">
      <alignment horizontal="left" vertical="top"/>
    </xf>
    <xf numFmtId="0" fontId="0" fillId="8" borderId="1" xfId="0" applyFill="1" applyBorder="1"/>
    <xf numFmtId="0" fontId="13" fillId="8" borderId="1" xfId="0" applyFont="1" applyFill="1" applyBorder="1" applyAlignment="1">
      <alignment wrapText="1"/>
    </xf>
    <xf numFmtId="0" fontId="0" fillId="9" borderId="1" xfId="0" applyFill="1" applyBorder="1" applyAlignment="1">
      <alignment vertical="top"/>
    </xf>
    <xf numFmtId="0" fontId="15" fillId="12" borderId="1" xfId="0" applyFont="1" applyFill="1" applyBorder="1" applyAlignment="1">
      <alignment vertical="center"/>
    </xf>
    <xf numFmtId="0" fontId="0" fillId="12" borderId="1" xfId="0" applyFill="1" applyBorder="1"/>
    <xf numFmtId="0" fontId="8" fillId="9" borderId="0" xfId="0" applyFont="1" applyFill="1" applyAlignment="1">
      <alignment horizontal="center"/>
    </xf>
    <xf numFmtId="0" fontId="8" fillId="8" borderId="0" xfId="0" applyFont="1" applyFill="1" applyAlignment="1">
      <alignment horizontal="center"/>
    </xf>
    <xf numFmtId="0" fontId="13" fillId="9" borderId="1" xfId="0" applyFont="1" applyFill="1" applyBorder="1" applyAlignment="1">
      <alignment horizontal="left" vertical="center" wrapText="1"/>
    </xf>
    <xf numFmtId="0" fontId="12" fillId="6" borderId="1" xfId="0" applyFont="1" applyFill="1" applyBorder="1" applyAlignment="1">
      <alignment vertical="center"/>
    </xf>
    <xf numFmtId="0" fontId="0" fillId="6" borderId="1" xfId="0" applyFill="1" applyBorder="1" applyAlignment="1">
      <alignment vertical="center"/>
    </xf>
    <xf numFmtId="0" fontId="0" fillId="9" borderId="1" xfId="0" applyFill="1" applyBorder="1" applyAlignment="1">
      <alignment vertical="center"/>
    </xf>
    <xf numFmtId="0" fontId="0" fillId="9" borderId="1" xfId="0" applyFill="1" applyBorder="1" applyAlignment="1">
      <alignment wrapText="1"/>
    </xf>
    <xf numFmtId="0" fontId="13" fillId="6" borderId="1" xfId="0" applyFont="1" applyFill="1" applyBorder="1" applyAlignment="1">
      <alignment vertical="top" wrapText="1"/>
    </xf>
    <xf numFmtId="0" fontId="13" fillId="0" borderId="1" xfId="0" applyFont="1" applyBorder="1" applyAlignment="1">
      <alignment vertical="center"/>
    </xf>
    <xf numFmtId="0" fontId="0" fillId="0" borderId="1" xfId="0" applyBorder="1" applyAlignment="1">
      <alignment wrapText="1"/>
    </xf>
    <xf numFmtId="0" fontId="3" fillId="2" borderId="0" xfId="0" applyFont="1" applyFill="1" applyAlignment="1">
      <alignment horizontal="center" vertical="center" wrapText="1"/>
    </xf>
    <xf numFmtId="0" fontId="4" fillId="2" borderId="0" xfId="0" applyFont="1" applyFill="1"/>
    <xf numFmtId="0" fontId="0" fillId="13" borderId="1" xfId="0" applyFill="1" applyBorder="1" applyAlignment="1">
      <alignment horizontal="left" vertical="center" wrapText="1"/>
    </xf>
    <xf numFmtId="0" fontId="13" fillId="8" borderId="1" xfId="0" applyFont="1" applyFill="1" applyBorder="1" applyAlignment="1">
      <alignment vertical="top" wrapText="1"/>
    </xf>
    <xf numFmtId="0" fontId="0" fillId="13" borderId="1" xfId="0" applyFill="1" applyBorder="1" applyAlignment="1">
      <alignment vertical="center" wrapText="1"/>
    </xf>
    <xf numFmtId="0" fontId="16" fillId="10" borderId="1" xfId="0" applyFont="1" applyFill="1" applyBorder="1" applyAlignment="1">
      <alignment vertical="center"/>
    </xf>
    <xf numFmtId="0" fontId="17" fillId="10" borderId="1" xfId="0" applyFont="1" applyFill="1" applyBorder="1" applyAlignment="1">
      <alignment vertical="center"/>
    </xf>
    <xf numFmtId="0" fontId="0" fillId="13" borderId="6" xfId="0" applyFill="1" applyBorder="1" applyAlignment="1">
      <alignment vertical="center"/>
    </xf>
    <xf numFmtId="0" fontId="0" fillId="8" borderId="1" xfId="0" applyFill="1" applyBorder="1" applyAlignment="1">
      <alignment horizontal="left" vertical="top" wrapText="1"/>
    </xf>
    <xf numFmtId="0" fontId="0" fillId="13" borderId="0" xfId="0" applyFill="1" applyAlignment="1">
      <alignment vertical="center"/>
    </xf>
    <xf numFmtId="0" fontId="0" fillId="13" borderId="1" xfId="0" applyFill="1" applyBorder="1"/>
    <xf numFmtId="0" fontId="13" fillId="13" borderId="1" xfId="0" applyFont="1" applyFill="1" applyBorder="1" applyAlignment="1">
      <alignment vertical="center" wrapText="1"/>
    </xf>
    <xf numFmtId="0" fontId="0" fillId="13" borderId="1" xfId="0" applyFill="1" applyBorder="1" applyAlignment="1">
      <alignment vertical="center"/>
    </xf>
    <xf numFmtId="0" fontId="0" fillId="13" borderId="1" xfId="0" applyFill="1" applyBorder="1" applyAlignment="1">
      <alignment wrapText="1"/>
    </xf>
    <xf numFmtId="0" fontId="13" fillId="9" borderId="7" xfId="0" applyFont="1" applyFill="1" applyBorder="1" applyAlignment="1">
      <alignment vertical="center" wrapText="1"/>
    </xf>
    <xf numFmtId="0" fontId="14" fillId="6" borderId="7" xfId="0" applyFont="1" applyFill="1" applyBorder="1" applyAlignment="1">
      <alignment vertical="center"/>
    </xf>
    <xf numFmtId="0" fontId="13" fillId="13" borderId="1" xfId="0" applyFont="1" applyFill="1" applyBorder="1" applyAlignment="1">
      <alignment wrapText="1"/>
    </xf>
    <xf numFmtId="0" fontId="13" fillId="13" borderId="1" xfId="0" applyFont="1" applyFill="1" applyBorder="1"/>
    <xf numFmtId="0" fontId="0" fillId="8" borderId="1" xfId="0" applyFill="1" applyBorder="1" applyAlignment="1">
      <alignment vertical="center" wrapText="1"/>
    </xf>
    <xf numFmtId="0" fontId="13" fillId="13" borderId="1" xfId="0" applyFont="1" applyFill="1" applyBorder="1" applyAlignment="1">
      <alignment vertical="center"/>
    </xf>
    <xf numFmtId="0" fontId="13" fillId="9" borderId="0" xfId="0" applyFont="1" applyFill="1" applyAlignment="1">
      <alignment vertical="center" wrapText="1"/>
    </xf>
    <xf numFmtId="0" fontId="15" fillId="12" borderId="0" xfId="0" applyFont="1" applyFill="1"/>
    <xf numFmtId="0" fontId="0" fillId="8" borderId="1" xfId="0" applyFill="1" applyBorder="1" applyAlignment="1">
      <alignment wrapText="1"/>
    </xf>
    <xf numFmtId="0" fontId="3" fillId="6" borderId="1" xfId="0" applyFont="1" applyFill="1" applyBorder="1" applyAlignment="1">
      <alignment vertical="center"/>
    </xf>
    <xf numFmtId="0" fontId="0" fillId="15" borderId="1" xfId="0" applyFill="1" applyBorder="1"/>
    <xf numFmtId="0" fontId="0" fillId="5" borderId="1" xfId="0" applyFill="1" applyBorder="1"/>
    <xf numFmtId="0" fontId="0" fillId="16" borderId="0" xfId="0" applyFill="1"/>
    <xf numFmtId="0" fontId="0" fillId="5" borderId="0" xfId="0" applyFill="1"/>
    <xf numFmtId="0" fontId="0" fillId="17" borderId="0" xfId="0" applyFill="1"/>
    <xf numFmtId="0" fontId="0" fillId="15" borderId="0" xfId="0" applyFill="1"/>
    <xf numFmtId="0" fontId="3" fillId="12" borderId="4" xfId="0" applyFont="1" applyFill="1" applyBorder="1" applyAlignment="1">
      <alignment vertical="center" wrapText="1"/>
    </xf>
    <xf numFmtId="0" fontId="0" fillId="12" borderId="4" xfId="0" applyFill="1" applyBorder="1" applyAlignment="1">
      <alignment vertical="center" wrapText="1"/>
    </xf>
    <xf numFmtId="0" fontId="1" fillId="12" borderId="3" xfId="0" applyFont="1" applyFill="1" applyBorder="1" applyAlignment="1">
      <alignment wrapText="1"/>
    </xf>
    <xf numFmtId="0" fontId="17" fillId="10" borderId="0" xfId="0" applyFont="1" applyFill="1"/>
    <xf numFmtId="0" fontId="8" fillId="10" borderId="3" xfId="0" applyFont="1" applyFill="1" applyBorder="1" applyAlignment="1">
      <alignment wrapText="1"/>
    </xf>
    <xf numFmtId="0" fontId="8" fillId="10" borderId="4" xfId="0" applyFont="1" applyFill="1" applyBorder="1" applyAlignment="1">
      <alignment vertical="center" wrapText="1"/>
    </xf>
    <xf numFmtId="0" fontId="7" fillId="10" borderId="4" xfId="0" applyFont="1" applyFill="1" applyBorder="1" applyAlignment="1">
      <alignment vertical="center" wrapText="1"/>
    </xf>
    <xf numFmtId="0" fontId="20" fillId="6" borderId="1" xfId="0" applyFont="1" applyFill="1" applyBorder="1" applyAlignment="1">
      <alignment vertical="center"/>
    </xf>
    <xf numFmtId="0" fontId="13" fillId="13" borderId="1" xfId="0" applyFont="1" applyFill="1" applyBorder="1" applyAlignment="1">
      <alignment horizontal="left" vertical="center" wrapText="1"/>
    </xf>
    <xf numFmtId="0" fontId="0" fillId="11" borderId="0" xfId="0" applyFill="1"/>
    <xf numFmtId="0" fontId="1" fillId="13" borderId="0" xfId="0" applyFont="1" applyFill="1" applyAlignment="1">
      <alignment horizontal="center"/>
    </xf>
    <xf numFmtId="0" fontId="0" fillId="8" borderId="1" xfId="0" applyFill="1" applyBorder="1" applyAlignment="1">
      <alignment vertical="center"/>
    </xf>
    <xf numFmtId="0" fontId="13" fillId="0" borderId="1" xfId="0" applyFont="1" applyBorder="1"/>
    <xf numFmtId="0" fontId="13" fillId="0" borderId="1" xfId="0" applyFont="1" applyBorder="1" applyAlignment="1">
      <alignment vertical="top" wrapText="1"/>
    </xf>
    <xf numFmtId="0" fontId="13" fillId="0" borderId="1" xfId="0" applyFont="1" applyBorder="1" applyAlignment="1">
      <alignment horizontal="left" vertical="center"/>
    </xf>
    <xf numFmtId="0" fontId="4" fillId="0" borderId="1" xfId="0" applyFont="1" applyBorder="1" applyAlignment="1">
      <alignment vertical="top"/>
    </xf>
    <xf numFmtId="0" fontId="9" fillId="0" borderId="1" xfId="0" applyFont="1" applyBorder="1" applyAlignment="1">
      <alignment vertical="top" wrapText="1"/>
    </xf>
    <xf numFmtId="0" fontId="4" fillId="0" borderId="1" xfId="0" applyFont="1" applyBorder="1" applyAlignment="1">
      <alignment vertical="center" wrapText="1"/>
    </xf>
    <xf numFmtId="0" fontId="3" fillId="0" borderId="1" xfId="0" applyFont="1" applyBorder="1" applyAlignment="1">
      <alignment vertical="center"/>
    </xf>
    <xf numFmtId="0" fontId="4" fillId="0" borderId="1" xfId="0" applyFont="1" applyBorder="1" applyAlignment="1">
      <alignment vertical="center"/>
    </xf>
    <xf numFmtId="0" fontId="3" fillId="0" borderId="1" xfId="0" applyFont="1" applyBorder="1" applyAlignment="1">
      <alignment vertical="center" wrapText="1"/>
    </xf>
    <xf numFmtId="0" fontId="14" fillId="0" borderId="1" xfId="0" applyFont="1" applyBorder="1" applyAlignment="1">
      <alignment vertical="center"/>
    </xf>
    <xf numFmtId="0" fontId="20" fillId="0" borderId="1" xfId="0" applyFont="1" applyBorder="1" applyAlignment="1">
      <alignment vertical="center"/>
    </xf>
    <xf numFmtId="0" fontId="13" fillId="0" borderId="1" xfId="0" applyFont="1" applyBorder="1" applyAlignment="1">
      <alignment horizontal="left" vertical="center" wrapText="1"/>
    </xf>
    <xf numFmtId="0" fontId="14" fillId="0" borderId="1" xfId="0" applyFont="1" applyBorder="1" applyAlignment="1">
      <alignment vertical="center" wrapText="1"/>
    </xf>
    <xf numFmtId="0" fontId="0" fillId="0" borderId="1" xfId="0" applyBorder="1" applyAlignment="1">
      <alignment horizontal="left" vertical="center" wrapText="1"/>
    </xf>
    <xf numFmtId="0" fontId="12" fillId="0" borderId="1" xfId="0" applyFont="1" applyBorder="1" applyAlignment="1">
      <alignment vertical="center"/>
    </xf>
    <xf numFmtId="0" fontId="3" fillId="0" borderId="1" xfId="0" applyFont="1" applyBorder="1" applyAlignment="1">
      <alignment vertical="top"/>
    </xf>
    <xf numFmtId="0" fontId="4" fillId="0" borderId="1" xfId="0" applyFont="1" applyBorder="1" applyAlignment="1">
      <alignment vertical="top" wrapText="1"/>
    </xf>
    <xf numFmtId="0" fontId="0" fillId="0" borderId="1" xfId="0" applyBorder="1" applyAlignment="1">
      <alignment horizontal="left" vertical="top" wrapText="1"/>
    </xf>
    <xf numFmtId="0" fontId="24" fillId="0" borderId="0" xfId="0" applyFont="1"/>
    <xf numFmtId="0" fontId="0" fillId="0" borderId="0" xfId="0" applyAlignment="1">
      <alignment wrapText="1"/>
    </xf>
    <xf numFmtId="0" fontId="0" fillId="12" borderId="1" xfId="0" applyFill="1" applyBorder="1" applyAlignment="1">
      <alignment wrapText="1"/>
    </xf>
    <xf numFmtId="0" fontId="17" fillId="10" borderId="1" xfId="0" applyFont="1" applyFill="1" applyBorder="1" applyAlignment="1">
      <alignment vertical="center" wrapText="1"/>
    </xf>
    <xf numFmtId="0" fontId="16" fillId="10" borderId="1" xfId="0" applyFont="1" applyFill="1" applyBorder="1" applyAlignment="1">
      <alignment vertical="center" wrapText="1"/>
    </xf>
    <xf numFmtId="0" fontId="15" fillId="12" borderId="1" xfId="0" applyFont="1" applyFill="1" applyBorder="1" applyAlignment="1">
      <alignment vertical="center" wrapText="1"/>
    </xf>
    <xf numFmtId="0" fontId="22"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6" fillId="10" borderId="1" xfId="0" applyFont="1" applyFill="1" applyBorder="1" applyAlignment="1">
      <alignment vertical="top"/>
    </xf>
    <xf numFmtId="0" fontId="0" fillId="10" borderId="1" xfId="0" applyFill="1" applyBorder="1"/>
    <xf numFmtId="0" fontId="0" fillId="10" borderId="1" xfId="0" applyFill="1" applyBorder="1" applyAlignment="1">
      <alignment wrapText="1"/>
    </xf>
    <xf numFmtId="0" fontId="0" fillId="3" borderId="1" xfId="0" applyFill="1" applyBorder="1"/>
    <xf numFmtId="0" fontId="17" fillId="10" borderId="1" xfId="0" applyFont="1" applyFill="1" applyBorder="1"/>
    <xf numFmtId="0" fontId="13" fillId="10" borderId="1" xfId="0" applyFont="1" applyFill="1" applyBorder="1"/>
    <xf numFmtId="0" fontId="15" fillId="12" borderId="1" xfId="0" applyFont="1" applyFill="1" applyBorder="1"/>
    <xf numFmtId="0" fontId="1" fillId="12" borderId="1" xfId="0" applyFont="1" applyFill="1" applyBorder="1" applyAlignment="1">
      <alignment wrapText="1"/>
    </xf>
    <xf numFmtId="0" fontId="13" fillId="12" borderId="1" xfId="0" applyFont="1" applyFill="1" applyBorder="1"/>
    <xf numFmtId="0" fontId="13" fillId="12" borderId="1" xfId="0" applyFont="1" applyFill="1" applyBorder="1" applyAlignment="1">
      <alignment wrapText="1"/>
    </xf>
    <xf numFmtId="0" fontId="8" fillId="10" borderId="1" xfId="0" applyFont="1" applyFill="1" applyBorder="1" applyAlignment="1">
      <alignment wrapText="1"/>
    </xf>
    <xf numFmtId="0" fontId="8" fillId="10" borderId="1" xfId="0" applyFont="1" applyFill="1" applyBorder="1" applyAlignment="1">
      <alignment vertical="center" wrapText="1"/>
    </xf>
    <xf numFmtId="0" fontId="7" fillId="10" borderId="1" xfId="0" applyFont="1" applyFill="1" applyBorder="1" applyAlignment="1">
      <alignment vertical="center" wrapText="1"/>
    </xf>
    <xf numFmtId="0" fontId="3" fillId="12" borderId="1" xfId="0" applyFont="1" applyFill="1" applyBorder="1" applyAlignment="1">
      <alignment vertical="center" wrapText="1"/>
    </xf>
    <xf numFmtId="0" fontId="0" fillId="12" borderId="1" xfId="0" applyFill="1" applyBorder="1" applyAlignment="1">
      <alignment vertical="center" wrapText="1"/>
    </xf>
    <xf numFmtId="0" fontId="13" fillId="10" borderId="1" xfId="0" applyFont="1" applyFill="1" applyBorder="1" applyAlignment="1">
      <alignment wrapText="1"/>
    </xf>
    <xf numFmtId="0" fontId="7" fillId="10" borderId="1" xfId="0" applyFont="1" applyFill="1" applyBorder="1"/>
    <xf numFmtId="0" fontId="16" fillId="10" borderId="1" xfId="0" applyFont="1" applyFill="1" applyBorder="1"/>
    <xf numFmtId="0" fontId="11" fillId="10" borderId="1" xfId="0" applyFont="1" applyFill="1" applyBorder="1"/>
    <xf numFmtId="0" fontId="4" fillId="10" borderId="1" xfId="0" applyFont="1" applyFill="1" applyBorder="1" applyAlignment="1">
      <alignment vertical="center" wrapText="1"/>
    </xf>
    <xf numFmtId="0" fontId="0" fillId="10" borderId="1" xfId="0" applyFill="1" applyBorder="1" applyAlignment="1">
      <alignment vertical="top" wrapText="1"/>
    </xf>
    <xf numFmtId="0" fontId="0" fillId="10" borderId="1" xfId="0" applyFill="1" applyBorder="1" applyAlignment="1">
      <alignment horizontal="left" vertical="top" wrapText="1"/>
    </xf>
    <xf numFmtId="0" fontId="24" fillId="0" borderId="0" xfId="0" applyFont="1" applyAlignment="1">
      <alignment vertical="center" textRotation="90" wrapText="1"/>
    </xf>
    <xf numFmtId="0" fontId="0" fillId="0" borderId="0" xfId="0" applyAlignment="1">
      <alignment vertical="center" textRotation="90" wrapText="1"/>
    </xf>
    <xf numFmtId="0" fontId="0" fillId="0" borderId="0" xfId="0" applyAlignment="1">
      <alignment horizontal="center" vertical="center" textRotation="90" wrapText="1"/>
    </xf>
    <xf numFmtId="0" fontId="1" fillId="0" borderId="0" xfId="0" applyFont="1" applyAlignment="1">
      <alignment horizontal="center" vertical="center" textRotation="90" wrapText="1"/>
    </xf>
    <xf numFmtId="0" fontId="28" fillId="0" borderId="1" xfId="0" applyFont="1" applyBorder="1" applyAlignment="1">
      <alignment vertical="center" wrapText="1"/>
    </xf>
    <xf numFmtId="0" fontId="0" fillId="0" borderId="0" xfId="0" applyAlignment="1">
      <alignment vertical="center" wrapText="1"/>
    </xf>
    <xf numFmtId="0" fontId="0" fillId="4" borderId="0" xfId="0" applyFill="1" applyAlignment="1">
      <alignment horizontal="center"/>
    </xf>
    <xf numFmtId="0" fontId="0" fillId="0" borderId="6" xfId="0" applyBorder="1" applyAlignment="1">
      <alignment vertical="center" wrapText="1"/>
    </xf>
    <xf numFmtId="0" fontId="21" fillId="0" borderId="1" xfId="0" applyFont="1" applyBorder="1" applyAlignment="1">
      <alignment vertical="center" wrapText="1"/>
    </xf>
    <xf numFmtId="0" fontId="0" fillId="0" borderId="1" xfId="0" applyBorder="1" applyAlignment="1">
      <alignment horizontal="left" wrapText="1"/>
    </xf>
    <xf numFmtId="0" fontId="15" fillId="0" borderId="1" xfId="0" applyFont="1" applyBorder="1" applyAlignment="1">
      <alignment vertical="center" wrapText="1"/>
    </xf>
    <xf numFmtId="0" fontId="29" fillId="11" borderId="1" xfId="0" applyFont="1" applyFill="1" applyBorder="1" applyAlignment="1">
      <alignment horizontal="center" vertical="center" wrapText="1"/>
    </xf>
    <xf numFmtId="0" fontId="30" fillId="0" borderId="1" xfId="0" applyFont="1" applyBorder="1" applyAlignment="1">
      <alignment vertical="center" wrapText="1"/>
    </xf>
    <xf numFmtId="0" fontId="32" fillId="0" borderId="8" xfId="0" applyFont="1" applyBorder="1" applyAlignment="1">
      <alignment vertical="center" wrapText="1"/>
    </xf>
    <xf numFmtId="0" fontId="32" fillId="0" borderId="1" xfId="0" applyFont="1" applyBorder="1" applyAlignment="1">
      <alignment vertical="center" wrapText="1"/>
    </xf>
    <xf numFmtId="0" fontId="32" fillId="0" borderId="2" xfId="0" applyFont="1" applyBorder="1" applyAlignment="1">
      <alignment vertical="center" wrapText="1"/>
    </xf>
    <xf numFmtId="0" fontId="35" fillId="0" borderId="8" xfId="0" applyFont="1" applyBorder="1" applyAlignment="1">
      <alignment vertical="center" wrapText="1"/>
    </xf>
    <xf numFmtId="0" fontId="31" fillId="18" borderId="1" xfId="0" applyFont="1" applyFill="1" applyBorder="1" applyAlignment="1">
      <alignment horizontal="center" vertical="center" wrapText="1"/>
    </xf>
    <xf numFmtId="0" fontId="31" fillId="18" borderId="2" xfId="0" applyFont="1" applyFill="1" applyBorder="1" applyAlignment="1">
      <alignment horizontal="center" vertical="center" wrapText="1"/>
    </xf>
    <xf numFmtId="0" fontId="0" fillId="4" borderId="0" xfId="0" applyFill="1" applyAlignment="1">
      <alignment horizontal="center" vertical="center" wrapText="1"/>
    </xf>
    <xf numFmtId="0" fontId="32" fillId="0" borderId="3" xfId="0" applyFont="1" applyBorder="1" applyAlignment="1">
      <alignment vertical="center" wrapText="1"/>
    </xf>
    <xf numFmtId="0" fontId="35" fillId="0" borderId="0" xfId="0" applyFont="1" applyAlignment="1">
      <alignment horizontal="left" vertical="center" wrapText="1"/>
    </xf>
    <xf numFmtId="0" fontId="35" fillId="0" borderId="2" xfId="0" applyFont="1" applyBorder="1" applyAlignment="1">
      <alignment horizontal="left" vertical="center" wrapText="1"/>
    </xf>
    <xf numFmtId="0" fontId="36" fillId="0" borderId="1" xfId="0" applyFont="1" applyBorder="1" applyAlignment="1">
      <alignment horizontal="center" vertical="center"/>
    </xf>
    <xf numFmtId="0" fontId="11" fillId="0" borderId="1" xfId="0" applyFont="1" applyBorder="1" applyAlignment="1">
      <alignment wrapText="1"/>
    </xf>
    <xf numFmtId="0" fontId="1" fillId="0" borderId="0" xfId="0" applyFont="1" applyAlignment="1">
      <alignment vertical="center" wrapText="1"/>
    </xf>
    <xf numFmtId="0" fontId="32" fillId="0" borderId="13" xfId="0" applyFont="1" applyBorder="1" applyAlignment="1">
      <alignment vertical="center" wrapText="1"/>
    </xf>
    <xf numFmtId="0" fontId="35" fillId="0" borderId="1" xfId="0" applyFont="1" applyBorder="1" applyAlignment="1">
      <alignment horizontal="left" vertical="center" wrapText="1"/>
    </xf>
    <xf numFmtId="0" fontId="35" fillId="0" borderId="1" xfId="0" applyFont="1" applyBorder="1" applyAlignment="1">
      <alignment vertical="top" wrapText="1"/>
    </xf>
    <xf numFmtId="0" fontId="32" fillId="0" borderId="1" xfId="0" applyFont="1" applyBorder="1" applyAlignment="1">
      <alignment horizontal="left" vertical="center" wrapText="1"/>
    </xf>
    <xf numFmtId="0" fontId="35" fillId="0" borderId="1" xfId="0" applyFont="1" applyBorder="1" applyAlignment="1">
      <alignment horizontal="center" vertical="center" wrapText="1"/>
    </xf>
    <xf numFmtId="0" fontId="0" fillId="0" borderId="5" xfId="0" applyBorder="1" applyAlignment="1">
      <alignment vertical="center" wrapText="1"/>
    </xf>
    <xf numFmtId="0" fontId="32" fillId="0" borderId="6" xfId="0" applyFont="1" applyBorder="1" applyAlignment="1">
      <alignment horizontal="center" vertical="center" wrapText="1"/>
    </xf>
    <xf numFmtId="0" fontId="32" fillId="0" borderId="1" xfId="0" applyFont="1" applyBorder="1" applyAlignment="1">
      <alignment horizontal="center" vertical="center" wrapText="1"/>
    </xf>
    <xf numFmtId="0" fontId="0" fillId="0" borderId="2" xfId="0" applyBorder="1" applyAlignment="1">
      <alignment horizontal="left" vertical="center" wrapText="1"/>
    </xf>
    <xf numFmtId="0" fontId="0" fillId="0" borderId="1" xfId="0" applyBorder="1" applyAlignment="1">
      <alignment horizontal="center" vertical="center" wrapText="1"/>
    </xf>
    <xf numFmtId="0" fontId="38" fillId="0" borderId="1" xfId="0" applyFont="1" applyBorder="1" applyAlignment="1">
      <alignment vertical="center" wrapText="1"/>
    </xf>
    <xf numFmtId="0" fontId="0" fillId="0" borderId="21" xfId="0" applyBorder="1" applyAlignment="1">
      <alignment vertical="center" wrapText="1"/>
    </xf>
    <xf numFmtId="0" fontId="0" fillId="0" borderId="21" xfId="0" applyBorder="1" applyAlignment="1">
      <alignment horizontal="center" vertical="center" wrapText="1"/>
    </xf>
    <xf numFmtId="0" fontId="0" fillId="0" borderId="22" xfId="0" applyBorder="1" applyAlignment="1">
      <alignment vertical="center" wrapText="1"/>
    </xf>
    <xf numFmtId="0" fontId="0" fillId="0" borderId="18" xfId="0" applyBorder="1" applyAlignment="1">
      <alignment horizontal="center" vertical="center" wrapText="1"/>
    </xf>
    <xf numFmtId="0" fontId="0" fillId="0" borderId="18" xfId="0" applyBorder="1" applyAlignment="1">
      <alignment vertical="center" wrapText="1"/>
    </xf>
    <xf numFmtId="0" fontId="0" fillId="0" borderId="23" xfId="0" applyBorder="1" applyAlignment="1">
      <alignment vertical="center" wrapText="1"/>
    </xf>
    <xf numFmtId="0" fontId="32" fillId="0" borderId="3" xfId="0" applyFont="1" applyBorder="1" applyAlignment="1">
      <alignment horizontal="center" vertical="center" wrapText="1"/>
    </xf>
    <xf numFmtId="0" fontId="0" fillId="0" borderId="24" xfId="0" applyBorder="1" applyAlignment="1">
      <alignment vertical="center" wrapText="1"/>
    </xf>
    <xf numFmtId="0" fontId="0" fillId="0" borderId="25" xfId="0" applyBorder="1" applyAlignment="1">
      <alignment vertical="center" wrapText="1"/>
    </xf>
    <xf numFmtId="0" fontId="46" fillId="0" borderId="21" xfId="0" applyFont="1" applyBorder="1" applyAlignment="1">
      <alignment horizontal="center" vertical="center" wrapText="1"/>
    </xf>
    <xf numFmtId="0" fontId="0" fillId="4" borderId="1" xfId="0" applyFill="1" applyBorder="1" applyAlignment="1">
      <alignment vertical="center" wrapText="1"/>
    </xf>
    <xf numFmtId="0" fontId="0" fillId="4" borderId="1" xfId="0" applyFill="1" applyBorder="1" applyAlignment="1">
      <alignment horizontal="center" vertical="center" wrapText="1"/>
    </xf>
    <xf numFmtId="0" fontId="13" fillId="4" borderId="1" xfId="0" applyFont="1" applyFill="1" applyBorder="1" applyAlignment="1">
      <alignment vertical="center" wrapText="1"/>
    </xf>
    <xf numFmtId="0" fontId="35" fillId="4" borderId="2" xfId="0" applyFont="1" applyFill="1" applyBorder="1" applyAlignment="1">
      <alignment horizontal="left" vertical="center" wrapText="1"/>
    </xf>
    <xf numFmtId="0" fontId="35" fillId="0" borderId="2" xfId="0" applyFont="1" applyBorder="1" applyAlignment="1">
      <alignment horizontal="center" vertical="center" wrapText="1"/>
    </xf>
    <xf numFmtId="0" fontId="0" fillId="0" borderId="5" xfId="0" applyBorder="1" applyAlignment="1">
      <alignment horizontal="left" vertical="center" wrapText="1"/>
    </xf>
    <xf numFmtId="0" fontId="0" fillId="0" borderId="21" xfId="0" applyBorder="1" applyAlignment="1">
      <alignment horizontal="left" vertical="center" wrapText="1"/>
    </xf>
    <xf numFmtId="0" fontId="0" fillId="0" borderId="18" xfId="0" applyBorder="1" applyAlignment="1">
      <alignment horizontal="left" vertical="center" wrapText="1"/>
    </xf>
    <xf numFmtId="0" fontId="0" fillId="0" borderId="26" xfId="0" applyBorder="1" applyAlignment="1">
      <alignment horizontal="left" vertical="center" wrapText="1"/>
    </xf>
    <xf numFmtId="0" fontId="46" fillId="0" borderId="21" xfId="0" applyFont="1" applyBorder="1" applyAlignment="1">
      <alignment horizontal="left" vertical="center"/>
    </xf>
    <xf numFmtId="0" fontId="32" fillId="4" borderId="1" xfId="0" applyFont="1" applyFill="1" applyBorder="1" applyAlignment="1">
      <alignment vertical="center" wrapText="1"/>
    </xf>
    <xf numFmtId="0" fontId="24" fillId="0" borderId="1" xfId="0" applyFont="1" applyBorder="1" applyAlignment="1">
      <alignment horizontal="center" vertical="center" wrapText="1"/>
    </xf>
    <xf numFmtId="0" fontId="24" fillId="4" borderId="1" xfId="0" applyFont="1" applyFill="1" applyBorder="1" applyAlignment="1">
      <alignment horizontal="center" vertical="center" wrapText="1"/>
    </xf>
    <xf numFmtId="0" fontId="35" fillId="4" borderId="1" xfId="0" applyFont="1" applyFill="1" applyBorder="1" applyAlignment="1">
      <alignment horizontal="center" vertical="center" wrapText="1"/>
    </xf>
    <xf numFmtId="0" fontId="35" fillId="0" borderId="1" xfId="0" applyFont="1" applyBorder="1" applyAlignment="1">
      <alignment vertical="center" wrapText="1"/>
    </xf>
    <xf numFmtId="0" fontId="0" fillId="36" borderId="24" xfId="0" applyFill="1" applyBorder="1" applyAlignment="1">
      <alignment horizontal="left" vertical="center" wrapText="1"/>
    </xf>
    <xf numFmtId="0" fontId="0" fillId="36" borderId="25" xfId="0" applyFill="1" applyBorder="1" applyAlignment="1">
      <alignment horizontal="left" vertical="center" wrapText="1"/>
    </xf>
    <xf numFmtId="0" fontId="0" fillId="36" borderId="21" xfId="0" applyFill="1" applyBorder="1" applyAlignment="1">
      <alignment horizontal="left" vertical="center" wrapText="1"/>
    </xf>
    <xf numFmtId="0" fontId="0" fillId="36" borderId="18" xfId="0" applyFill="1" applyBorder="1" applyAlignment="1">
      <alignment horizontal="left" vertical="center" wrapText="1"/>
    </xf>
    <xf numFmtId="0" fontId="0" fillId="37" borderId="21" xfId="0" applyFill="1" applyBorder="1" applyAlignment="1">
      <alignment horizontal="left" vertical="center" wrapText="1"/>
    </xf>
    <xf numFmtId="0" fontId="0" fillId="37" borderId="18" xfId="0" applyFill="1" applyBorder="1" applyAlignment="1">
      <alignment horizontal="left" vertical="center" wrapText="1"/>
    </xf>
    <xf numFmtId="0" fontId="36" fillId="0" borderId="5" xfId="0" applyFont="1" applyBorder="1" applyAlignment="1">
      <alignment vertical="center" wrapText="1"/>
    </xf>
    <xf numFmtId="0" fontId="45" fillId="0" borderId="1" xfId="0" applyFont="1" applyBorder="1"/>
    <xf numFmtId="0" fontId="32" fillId="38" borderId="1" xfId="0" applyFont="1" applyFill="1" applyBorder="1" applyAlignment="1">
      <alignment horizontal="center" vertical="center" wrapText="1"/>
    </xf>
    <xf numFmtId="0" fontId="32" fillId="0" borderId="21" xfId="0" applyFont="1" applyBorder="1" applyAlignment="1">
      <alignment horizontal="center" vertical="center" wrapText="1"/>
    </xf>
    <xf numFmtId="0" fontId="32" fillId="4" borderId="1" xfId="0" applyFont="1" applyFill="1" applyBorder="1" applyAlignment="1">
      <alignment horizontal="center" vertical="center" wrapText="1"/>
    </xf>
    <xf numFmtId="0" fontId="32" fillId="0" borderId="0" xfId="0" applyFont="1" applyAlignment="1">
      <alignment horizontal="left" vertical="center" wrapText="1"/>
    </xf>
    <xf numFmtId="0" fontId="32" fillId="4" borderId="1" xfId="0" applyFont="1" applyFill="1" applyBorder="1" applyAlignment="1">
      <alignment horizontal="left" vertical="center" wrapText="1"/>
    </xf>
    <xf numFmtId="0" fontId="32" fillId="36" borderId="1" xfId="0" applyFont="1" applyFill="1" applyBorder="1" applyAlignment="1">
      <alignment vertical="center" wrapText="1"/>
    </xf>
    <xf numFmtId="0" fontId="0" fillId="36" borderId="1" xfId="0" applyFill="1" applyBorder="1" applyAlignment="1">
      <alignment vertical="center" wrapText="1"/>
    </xf>
    <xf numFmtId="0" fontId="0" fillId="39" borderId="1" xfId="0" applyFill="1" applyBorder="1" applyAlignment="1">
      <alignment horizontal="center" vertical="center" wrapText="1"/>
    </xf>
    <xf numFmtId="0" fontId="0" fillId="39" borderId="1" xfId="0" applyFill="1" applyBorder="1" applyAlignment="1">
      <alignment vertical="center" wrapText="1"/>
    </xf>
    <xf numFmtId="0" fontId="49" fillId="4" borderId="1" xfId="0" applyFont="1" applyFill="1" applyBorder="1" applyAlignment="1">
      <alignment horizontal="left" vertical="center" wrapText="1"/>
    </xf>
    <xf numFmtId="0" fontId="35" fillId="39" borderId="1" xfId="0" applyFont="1" applyFill="1" applyBorder="1" applyAlignment="1">
      <alignment horizontal="center" vertical="center" wrapText="1"/>
    </xf>
    <xf numFmtId="0" fontId="32" fillId="39" borderId="1" xfId="0" applyFont="1" applyFill="1" applyBorder="1" applyAlignment="1">
      <alignment vertical="center" wrapText="1"/>
    </xf>
    <xf numFmtId="0" fontId="32" fillId="0" borderId="5" xfId="0" applyFont="1" applyBorder="1" applyAlignment="1">
      <alignment horizontal="center" vertical="center" wrapText="1"/>
    </xf>
    <xf numFmtId="0" fontId="39" fillId="34" borderId="21" xfId="0" applyFont="1" applyFill="1" applyBorder="1" applyAlignment="1">
      <alignment horizontal="left" vertical="center" wrapText="1"/>
    </xf>
    <xf numFmtId="0" fontId="39" fillId="34" borderId="18" xfId="0" applyFont="1" applyFill="1" applyBorder="1" applyAlignment="1">
      <alignment horizontal="left" vertical="center" wrapText="1"/>
    </xf>
    <xf numFmtId="0" fontId="38" fillId="0" borderId="21" xfId="0" applyFont="1" applyBorder="1" applyAlignment="1">
      <alignment vertical="center" wrapText="1"/>
    </xf>
    <xf numFmtId="0" fontId="38" fillId="34" borderId="21" xfId="0" quotePrefix="1" applyFont="1" applyFill="1" applyBorder="1" applyAlignment="1">
      <alignment horizontal="left"/>
    </xf>
    <xf numFmtId="0" fontId="39" fillId="0" borderId="25" xfId="0" applyFont="1" applyBorder="1" applyAlignment="1">
      <alignment horizontal="left" vertical="center" wrapText="1"/>
    </xf>
    <xf numFmtId="0" fontId="38" fillId="34" borderId="18" xfId="0" quotePrefix="1" applyFont="1" applyFill="1" applyBorder="1" applyAlignment="1">
      <alignment horizontal="left"/>
    </xf>
    <xf numFmtId="0" fontId="39" fillId="0" borderId="25" xfId="0" applyFont="1" applyBorder="1" applyAlignment="1">
      <alignment horizontal="left" vertical="center"/>
    </xf>
    <xf numFmtId="0" fontId="38" fillId="34" borderId="21" xfId="0" applyFont="1" applyFill="1" applyBorder="1" applyAlignment="1">
      <alignment vertical="center" wrapText="1"/>
    </xf>
    <xf numFmtId="0" fontId="38" fillId="34" borderId="18" xfId="0" applyFont="1" applyFill="1" applyBorder="1" applyAlignment="1">
      <alignment vertical="center"/>
    </xf>
    <xf numFmtId="0" fontId="38" fillId="34" borderId="18" xfId="0" applyFont="1" applyFill="1" applyBorder="1" applyAlignment="1">
      <alignment vertical="center" wrapText="1"/>
    </xf>
    <xf numFmtId="0" fontId="38" fillId="34" borderId="21" xfId="0" applyFont="1" applyFill="1" applyBorder="1" applyAlignment="1">
      <alignment wrapText="1"/>
    </xf>
    <xf numFmtId="0" fontId="38" fillId="0" borderId="18" xfId="0" applyFont="1" applyBorder="1" applyAlignment="1">
      <alignment vertical="center" wrapText="1"/>
    </xf>
    <xf numFmtId="0" fontId="38" fillId="0" borderId="18" xfId="0" applyFont="1" applyBorder="1" applyAlignment="1">
      <alignment wrapText="1"/>
    </xf>
    <xf numFmtId="0" fontId="38" fillId="34" borderId="18" xfId="0" applyFont="1" applyFill="1" applyBorder="1" applyAlignment="1">
      <alignment wrapText="1"/>
    </xf>
    <xf numFmtId="0" fontId="38" fillId="34" borderId="18" xfId="0" applyFont="1" applyFill="1" applyBorder="1"/>
    <xf numFmtId="0" fontId="32" fillId="0" borderId="18" xfId="0" applyFont="1" applyBorder="1" applyAlignment="1">
      <alignment vertical="center"/>
    </xf>
    <xf numFmtId="0" fontId="38" fillId="0" borderId="18" xfId="0" applyFont="1" applyBorder="1" applyAlignment="1">
      <alignment horizontal="left" wrapText="1"/>
    </xf>
    <xf numFmtId="0" fontId="32" fillId="0" borderId="21" xfId="0" applyFont="1" applyBorder="1" applyAlignment="1">
      <alignment horizontal="left" wrapText="1"/>
    </xf>
    <xf numFmtId="0" fontId="39" fillId="34" borderId="25" xfId="0" applyFont="1" applyFill="1" applyBorder="1" applyAlignment="1">
      <alignment horizontal="left" vertical="center"/>
    </xf>
    <xf numFmtId="0" fontId="38" fillId="34" borderId="22" xfId="0" applyFont="1" applyFill="1" applyBorder="1" applyAlignment="1">
      <alignment wrapText="1"/>
    </xf>
    <xf numFmtId="0" fontId="38" fillId="34" borderId="23" xfId="0" applyFont="1" applyFill="1" applyBorder="1" applyAlignment="1">
      <alignment wrapText="1"/>
    </xf>
    <xf numFmtId="0" fontId="38" fillId="0" borderId="21" xfId="0" applyFont="1" applyBorder="1" applyAlignment="1">
      <alignment horizontal="left" wrapText="1"/>
    </xf>
    <xf numFmtId="0" fontId="38" fillId="34" borderId="25" xfId="0" applyFont="1" applyFill="1" applyBorder="1" applyAlignment="1">
      <alignment horizontal="left" wrapText="1"/>
    </xf>
    <xf numFmtId="0" fontId="38" fillId="34" borderId="26" xfId="0" applyFont="1" applyFill="1" applyBorder="1" applyAlignment="1">
      <alignment horizontal="left" wrapText="1"/>
    </xf>
    <xf numFmtId="0" fontId="38" fillId="34" borderId="21" xfId="0" applyFont="1" applyFill="1" applyBorder="1"/>
    <xf numFmtId="0" fontId="32" fillId="34" borderId="25" xfId="0" applyFont="1" applyFill="1" applyBorder="1" applyAlignment="1">
      <alignment horizontal="left" wrapText="1"/>
    </xf>
    <xf numFmtId="0" fontId="32" fillId="34" borderId="26" xfId="0" applyFont="1" applyFill="1" applyBorder="1" applyAlignment="1">
      <alignment horizontal="left" wrapText="1"/>
    </xf>
    <xf numFmtId="0" fontId="41" fillId="0" borderId="2" xfId="0" applyFont="1" applyBorder="1" applyAlignment="1">
      <alignment horizontal="left" vertical="center" wrapText="1"/>
    </xf>
    <xf numFmtId="0" fontId="0" fillId="0" borderId="6" xfId="0" applyBorder="1" applyAlignment="1">
      <alignment horizontal="center" vertical="center" wrapText="1"/>
    </xf>
    <xf numFmtId="0" fontId="0" fillId="40" borderId="1" xfId="0" applyFill="1" applyBorder="1" applyAlignment="1">
      <alignment vertical="center" wrapText="1"/>
    </xf>
    <xf numFmtId="0" fontId="32" fillId="40" borderId="1" xfId="0" applyFont="1" applyFill="1" applyBorder="1" applyAlignment="1">
      <alignment vertical="center" wrapText="1"/>
    </xf>
    <xf numFmtId="0" fontId="32" fillId="11" borderId="1" xfId="0" applyFont="1" applyFill="1" applyBorder="1" applyAlignment="1">
      <alignment horizontal="center" vertical="center" wrapText="1"/>
    </xf>
    <xf numFmtId="0" fontId="0" fillId="0" borderId="18" xfId="0" applyBorder="1" applyAlignment="1">
      <alignment horizontal="left" vertical="center" wrapText="1"/>
    </xf>
    <xf numFmtId="0" fontId="0" fillId="0" borderId="33" xfId="0"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center" wrapText="1"/>
    </xf>
    <xf numFmtId="0" fontId="0" fillId="0" borderId="18"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36" fillId="0" borderId="1" xfId="0" applyFont="1" applyBorder="1" applyAlignment="1">
      <alignment horizontal="center" vertical="center" wrapText="1"/>
    </xf>
    <xf numFmtId="0" fontId="1" fillId="0" borderId="1" xfId="0" applyFont="1" applyBorder="1" applyAlignment="1">
      <alignment horizontal="center" vertical="center" wrapText="1"/>
    </xf>
    <xf numFmtId="0" fontId="38" fillId="0" borderId="3" xfId="0" applyFont="1" applyBorder="1" applyAlignment="1">
      <alignment horizontal="center" vertical="center" wrapText="1"/>
    </xf>
    <xf numFmtId="0" fontId="33" fillId="33" borderId="5" xfId="0" applyFont="1" applyFill="1" applyBorder="1" applyAlignment="1">
      <alignment horizontal="center" vertical="center" wrapText="1"/>
    </xf>
    <xf numFmtId="0" fontId="33" fillId="33" borderId="7" xfId="0" applyFont="1" applyFill="1" applyBorder="1" applyAlignment="1">
      <alignment horizontal="center" vertical="center" wrapText="1"/>
    </xf>
    <xf numFmtId="0" fontId="33" fillId="33" borderId="6" xfId="0" applyFont="1" applyFill="1" applyBorder="1" applyAlignment="1">
      <alignment horizontal="center" vertical="center" wrapText="1"/>
    </xf>
    <xf numFmtId="0" fontId="33" fillId="0" borderId="5" xfId="0" applyFont="1" applyBorder="1" applyAlignment="1">
      <alignment horizontal="center" vertical="center" wrapText="1"/>
    </xf>
    <xf numFmtId="0" fontId="33" fillId="0" borderId="7" xfId="0" applyFont="1" applyBorder="1" applyAlignment="1">
      <alignment horizontal="center" vertical="center" wrapText="1"/>
    </xf>
    <xf numFmtId="0" fontId="33" fillId="0" borderId="6" xfId="0" applyFont="1" applyBorder="1" applyAlignment="1">
      <alignment horizontal="center" vertical="center" wrapText="1"/>
    </xf>
    <xf numFmtId="0" fontId="38" fillId="0" borderId="21" xfId="0" applyFont="1" applyBorder="1" applyAlignment="1">
      <alignment horizontal="left" wrapText="1"/>
    </xf>
    <xf numFmtId="0" fontId="38" fillId="0" borderId="18" xfId="0" applyFont="1" applyBorder="1" applyAlignment="1">
      <alignment horizontal="left" wrapText="1"/>
    </xf>
    <xf numFmtId="0" fontId="46" fillId="0" borderId="18" xfId="0" applyFont="1" applyBorder="1" applyAlignment="1">
      <alignment horizontal="left" vertical="center"/>
    </xf>
    <xf numFmtId="0" fontId="46" fillId="0" borderId="19" xfId="0" applyFont="1" applyBorder="1" applyAlignment="1">
      <alignment horizontal="left" vertical="center"/>
    </xf>
    <xf numFmtId="0" fontId="46" fillId="0" borderId="18" xfId="0" applyFont="1" applyBorder="1" applyAlignment="1">
      <alignment horizontal="center" vertical="center" wrapText="1"/>
    </xf>
    <xf numFmtId="0" fontId="46" fillId="0" borderId="20" xfId="0" applyFont="1" applyBorder="1" applyAlignment="1">
      <alignment horizontal="center" vertical="center" wrapText="1"/>
    </xf>
    <xf numFmtId="0" fontId="46" fillId="0" borderId="19" xfId="0" applyFont="1" applyBorder="1" applyAlignment="1">
      <alignment horizontal="center" vertical="center" wrapText="1"/>
    </xf>
    <xf numFmtId="0" fontId="46" fillId="0" borderId="23" xfId="0" applyFont="1" applyBorder="1" applyAlignment="1">
      <alignment horizontal="center" vertical="center" wrapText="1"/>
    </xf>
    <xf numFmtId="0" fontId="46" fillId="0" borderId="28" xfId="0" applyFont="1" applyBorder="1" applyAlignment="1">
      <alignment horizontal="center" vertical="center" wrapText="1"/>
    </xf>
    <xf numFmtId="0" fontId="46" fillId="0" borderId="29" xfId="0" applyFont="1" applyBorder="1" applyAlignment="1">
      <alignment horizontal="center" vertical="center" wrapText="1"/>
    </xf>
    <xf numFmtId="0" fontId="24" fillId="0" borderId="18" xfId="0" applyFont="1" applyBorder="1" applyAlignment="1">
      <alignment horizontal="center" vertical="center" wrapText="1"/>
    </xf>
    <xf numFmtId="0" fontId="24" fillId="0" borderId="20" xfId="0" applyFont="1" applyBorder="1" applyAlignment="1">
      <alignment horizontal="center" vertical="center" wrapText="1"/>
    </xf>
    <xf numFmtId="0" fontId="24" fillId="0" borderId="19" xfId="0" applyFont="1" applyBorder="1" applyAlignment="1">
      <alignment horizontal="center"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6" xfId="0" applyBorder="1" applyAlignment="1">
      <alignment horizontal="left"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38" fillId="0" borderId="11" xfId="0" applyFont="1" applyBorder="1" applyAlignment="1">
      <alignment horizontal="center" vertical="center" wrapText="1"/>
    </xf>
    <xf numFmtId="0" fontId="38" fillId="0" borderId="9" xfId="0" applyFont="1" applyBorder="1" applyAlignment="1">
      <alignment horizontal="center" vertical="center" wrapText="1"/>
    </xf>
    <xf numFmtId="0" fontId="38" fillId="0" borderId="12" xfId="0" applyFont="1" applyBorder="1" applyAlignment="1">
      <alignment horizontal="center" vertical="center" wrapText="1"/>
    </xf>
    <xf numFmtId="0" fontId="32" fillId="0" borderId="5" xfId="0" applyFont="1" applyBorder="1" applyAlignment="1">
      <alignment horizontal="center" vertical="center" wrapText="1"/>
    </xf>
    <xf numFmtId="0" fontId="32" fillId="0" borderId="7" xfId="0" applyFont="1" applyBorder="1" applyAlignment="1">
      <alignment horizontal="center" vertical="center" wrapText="1"/>
    </xf>
    <xf numFmtId="0" fontId="32" fillId="0" borderId="6" xfId="0" applyFont="1" applyBorder="1" applyAlignment="1">
      <alignment horizontal="center" vertical="center" wrapText="1"/>
    </xf>
    <xf numFmtId="0" fontId="0" fillId="0" borderId="15" xfId="0" applyBorder="1" applyAlignment="1">
      <alignment horizontal="center" vertical="center" wrapText="1"/>
    </xf>
    <xf numFmtId="0" fontId="32" fillId="0" borderId="13" xfId="0" applyFont="1" applyBorder="1" applyAlignment="1">
      <alignment horizontal="center" vertical="center" wrapText="1"/>
    </xf>
    <xf numFmtId="0" fontId="32" fillId="0" borderId="15" xfId="0" applyFont="1" applyBorder="1" applyAlignment="1">
      <alignment horizontal="center" vertical="center" wrapText="1"/>
    </xf>
    <xf numFmtId="0" fontId="0" fillId="0" borderId="1" xfId="0" applyBorder="1" applyAlignment="1">
      <alignment horizontal="left" vertical="center" wrapText="1"/>
    </xf>
    <xf numFmtId="0" fontId="38" fillId="0" borderId="1" xfId="0" applyFont="1" applyBorder="1" applyAlignment="1">
      <alignment horizontal="center" vertical="center" wrapText="1"/>
    </xf>
    <xf numFmtId="0" fontId="32" fillId="0" borderId="1" xfId="0" applyFont="1" applyBorder="1" applyAlignment="1">
      <alignment horizontal="left" vertical="center" wrapText="1"/>
    </xf>
    <xf numFmtId="0" fontId="33" fillId="26" borderId="1" xfId="0" applyFont="1" applyFill="1" applyBorder="1" applyAlignment="1">
      <alignment horizontal="center" vertical="center" wrapText="1"/>
    </xf>
    <xf numFmtId="0" fontId="33" fillId="0" borderId="1" xfId="0" applyFont="1" applyBorder="1" applyAlignment="1">
      <alignment horizontal="center" vertical="center" wrapText="1"/>
    </xf>
    <xf numFmtId="0" fontId="0" fillId="4" borderId="1" xfId="0" applyFill="1" applyBorder="1" applyAlignment="1">
      <alignment horizontal="left" vertical="center" wrapText="1"/>
    </xf>
    <xf numFmtId="0" fontId="33" fillId="22" borderId="5" xfId="0" applyFont="1" applyFill="1" applyBorder="1" applyAlignment="1">
      <alignment horizontal="center" vertical="center" wrapText="1"/>
    </xf>
    <xf numFmtId="0" fontId="33" fillId="22" borderId="7" xfId="0" applyFont="1" applyFill="1" applyBorder="1" applyAlignment="1">
      <alignment horizontal="center" vertical="center" wrapText="1"/>
    </xf>
    <xf numFmtId="0" fontId="33" fillId="22" borderId="6" xfId="0" applyFont="1" applyFill="1" applyBorder="1" applyAlignment="1">
      <alignment horizontal="center" vertical="center" wrapText="1"/>
    </xf>
    <xf numFmtId="0" fontId="32" fillId="0" borderId="5" xfId="0" applyFont="1" applyBorder="1" applyAlignment="1">
      <alignment horizontal="left" vertical="center" wrapText="1"/>
    </xf>
    <xf numFmtId="0" fontId="32" fillId="0" borderId="7" xfId="0" applyFont="1" applyBorder="1" applyAlignment="1">
      <alignment horizontal="left" vertical="center" wrapText="1"/>
    </xf>
    <xf numFmtId="0" fontId="32" fillId="0" borderId="6" xfId="0" applyFont="1" applyBorder="1" applyAlignment="1">
      <alignment horizontal="left" vertical="center" wrapText="1"/>
    </xf>
    <xf numFmtId="0" fontId="33" fillId="31" borderId="5" xfId="0" applyFont="1" applyFill="1" applyBorder="1" applyAlignment="1">
      <alignment horizontal="center" vertical="center" wrapText="1"/>
    </xf>
    <xf numFmtId="0" fontId="33" fillId="31" borderId="7" xfId="0" applyFont="1" applyFill="1" applyBorder="1" applyAlignment="1">
      <alignment horizontal="center" vertical="center" wrapText="1"/>
    </xf>
    <xf numFmtId="0" fontId="33" fillId="31" borderId="6" xfId="0" applyFont="1" applyFill="1" applyBorder="1" applyAlignment="1">
      <alignment horizontal="center" vertical="center" wrapText="1"/>
    </xf>
    <xf numFmtId="0" fontId="36" fillId="0" borderId="5" xfId="0" applyFont="1" applyBorder="1" applyAlignment="1">
      <alignment horizontal="center" vertical="center" wrapText="1"/>
    </xf>
    <xf numFmtId="0" fontId="36" fillId="0" borderId="7" xfId="0" applyFont="1" applyBorder="1" applyAlignment="1">
      <alignment horizontal="center" vertical="center" wrapText="1"/>
    </xf>
    <xf numFmtId="0" fontId="36" fillId="0" borderId="6" xfId="0" applyFont="1" applyBorder="1" applyAlignment="1">
      <alignment horizontal="center" vertical="center" wrapText="1"/>
    </xf>
    <xf numFmtId="0" fontId="38" fillId="0" borderId="11" xfId="0" applyFont="1" applyBorder="1" applyAlignment="1">
      <alignment horizontal="center" vertical="center"/>
    </xf>
    <xf numFmtId="0" fontId="38" fillId="0" borderId="9" xfId="0" applyFont="1" applyBorder="1" applyAlignment="1">
      <alignment horizontal="center" vertical="center"/>
    </xf>
    <xf numFmtId="0" fontId="38" fillId="0" borderId="12" xfId="0" applyFont="1" applyBorder="1" applyAlignment="1">
      <alignment horizontal="center" vertical="center"/>
    </xf>
    <xf numFmtId="0" fontId="33" fillId="30" borderId="1" xfId="0" applyFont="1" applyFill="1" applyBorder="1" applyAlignment="1">
      <alignment horizontal="center" vertical="center" wrapText="1"/>
    </xf>
    <xf numFmtId="0" fontId="33" fillId="29" borderId="1" xfId="0" applyFont="1" applyFill="1" applyBorder="1" applyAlignment="1">
      <alignment horizontal="center" vertical="center" wrapText="1"/>
    </xf>
    <xf numFmtId="0" fontId="32" fillId="0" borderId="1" xfId="0" applyFont="1" applyBorder="1" applyAlignment="1">
      <alignment horizontal="center" vertical="center" wrapText="1"/>
    </xf>
    <xf numFmtId="0" fontId="32" fillId="0" borderId="13" xfId="0" applyFont="1" applyBorder="1" applyAlignment="1">
      <alignment horizontal="left" vertical="center" wrapText="1"/>
    </xf>
    <xf numFmtId="0" fontId="32" fillId="0" borderId="15" xfId="0" applyFont="1" applyBorder="1" applyAlignment="1">
      <alignment horizontal="left" vertical="center" wrapText="1"/>
    </xf>
    <xf numFmtId="0" fontId="32" fillId="0" borderId="14" xfId="0" applyFont="1" applyBorder="1" applyAlignment="1">
      <alignment horizontal="left" vertical="center" wrapText="1"/>
    </xf>
    <xf numFmtId="0" fontId="33" fillId="28" borderId="1" xfId="0" applyFont="1" applyFill="1" applyBorder="1" applyAlignment="1">
      <alignment horizontal="center" vertical="center" wrapText="1"/>
    </xf>
    <xf numFmtId="0" fontId="33" fillId="27" borderId="5" xfId="0" applyFont="1" applyFill="1" applyBorder="1" applyAlignment="1">
      <alignment horizontal="center" vertical="center" wrapText="1"/>
    </xf>
    <xf numFmtId="0" fontId="33" fillId="27" borderId="7" xfId="0" applyFont="1" applyFill="1" applyBorder="1" applyAlignment="1">
      <alignment horizontal="center" vertical="center" wrapText="1"/>
    </xf>
    <xf numFmtId="0" fontId="36" fillId="0" borderId="5" xfId="0" applyFont="1" applyBorder="1" applyAlignment="1">
      <alignment horizontal="center" vertical="center"/>
    </xf>
    <xf numFmtId="0" fontId="36" fillId="0" borderId="7" xfId="0" applyFont="1" applyBorder="1" applyAlignment="1">
      <alignment horizontal="center" vertical="center"/>
    </xf>
    <xf numFmtId="0" fontId="32" fillId="0" borderId="11" xfId="0" applyFont="1" applyBorder="1" applyAlignment="1">
      <alignment horizontal="left" vertical="center" wrapText="1"/>
    </xf>
    <xf numFmtId="0" fontId="32" fillId="0" borderId="12" xfId="0" applyFont="1" applyBorder="1" applyAlignment="1">
      <alignment horizontal="left" vertical="center" wrapText="1"/>
    </xf>
    <xf numFmtId="0" fontId="32" fillId="0" borderId="11" xfId="0" applyFont="1" applyBorder="1" applyAlignment="1">
      <alignment horizontal="center" vertical="center" wrapText="1"/>
    </xf>
    <xf numFmtId="0" fontId="32" fillId="0" borderId="9" xfId="0" applyFont="1" applyBorder="1" applyAlignment="1">
      <alignment horizontal="center" vertical="center" wrapText="1"/>
    </xf>
    <xf numFmtId="0" fontId="32" fillId="0" borderId="12" xfId="0" applyFont="1" applyBorder="1" applyAlignment="1">
      <alignment horizontal="center" vertical="center" wrapText="1"/>
    </xf>
    <xf numFmtId="0" fontId="33" fillId="21" borderId="5" xfId="0" applyFont="1" applyFill="1" applyBorder="1" applyAlignment="1">
      <alignment horizontal="center" vertical="center" wrapText="1"/>
    </xf>
    <xf numFmtId="0" fontId="33" fillId="21" borderId="7" xfId="0" applyFont="1" applyFill="1" applyBorder="1" applyAlignment="1">
      <alignment horizontal="center" vertical="center" wrapText="1"/>
    </xf>
    <xf numFmtId="0" fontId="33" fillId="21" borderId="6" xfId="0" applyFont="1" applyFill="1" applyBorder="1" applyAlignment="1">
      <alignment horizontal="center" vertical="center" wrapText="1"/>
    </xf>
    <xf numFmtId="0" fontId="33" fillId="19" borderId="5" xfId="0" applyFont="1" applyFill="1" applyBorder="1" applyAlignment="1">
      <alignment horizontal="center" vertical="center" wrapText="1"/>
    </xf>
    <xf numFmtId="0" fontId="33" fillId="19" borderId="7" xfId="0" applyFont="1" applyFill="1" applyBorder="1" applyAlignment="1">
      <alignment horizontal="center" vertical="center" wrapText="1"/>
    </xf>
    <xf numFmtId="0" fontId="33" fillId="19" borderId="6" xfId="0" applyFont="1" applyFill="1" applyBorder="1" applyAlignment="1">
      <alignment horizontal="center" vertical="center" wrapText="1"/>
    </xf>
    <xf numFmtId="0" fontId="33" fillId="20" borderId="1" xfId="0" applyFont="1" applyFill="1" applyBorder="1" applyAlignment="1">
      <alignment horizontal="center" vertical="center" wrapText="1"/>
    </xf>
    <xf numFmtId="0" fontId="32" fillId="0" borderId="9" xfId="0" applyFont="1" applyBorder="1" applyAlignment="1">
      <alignment horizontal="left" vertical="center" wrapText="1"/>
    </xf>
    <xf numFmtId="0" fontId="33" fillId="24" borderId="1" xfId="0" applyFont="1" applyFill="1" applyBorder="1" applyAlignment="1">
      <alignment horizontal="center" vertical="center" wrapText="1"/>
    </xf>
    <xf numFmtId="0" fontId="33" fillId="23" borderId="1" xfId="0" applyFont="1" applyFill="1" applyBorder="1" applyAlignment="1">
      <alignment horizontal="center" vertical="center" wrapText="1"/>
    </xf>
    <xf numFmtId="0" fontId="33" fillId="32" borderId="5" xfId="0" applyFont="1" applyFill="1" applyBorder="1" applyAlignment="1">
      <alignment horizontal="center" vertical="center" wrapText="1"/>
    </xf>
    <xf numFmtId="0" fontId="33" fillId="32" borderId="7" xfId="0" applyFont="1" applyFill="1" applyBorder="1" applyAlignment="1">
      <alignment horizontal="center" vertical="center" wrapText="1"/>
    </xf>
    <xf numFmtId="0" fontId="33" fillId="32" borderId="6" xfId="0" applyFont="1" applyFill="1" applyBorder="1" applyAlignment="1">
      <alignment horizontal="center" vertical="center" wrapText="1"/>
    </xf>
    <xf numFmtId="0" fontId="33" fillId="25" borderId="1" xfId="0" applyFont="1" applyFill="1" applyBorder="1" applyAlignment="1">
      <alignment horizontal="center" vertical="center" wrapText="1"/>
    </xf>
    <xf numFmtId="0" fontId="39" fillId="0" borderId="24" xfId="0" applyFont="1" applyBorder="1" applyAlignment="1">
      <alignment horizontal="left" vertical="center"/>
    </xf>
    <xf numFmtId="0" fontId="39" fillId="0" borderId="25" xfId="0" applyFont="1" applyBorder="1" applyAlignment="1">
      <alignment horizontal="left" vertical="center"/>
    </xf>
    <xf numFmtId="0" fontId="0" fillId="0" borderId="21" xfId="0" applyBorder="1" applyAlignment="1">
      <alignment horizontal="center" vertical="center" wrapText="1"/>
    </xf>
    <xf numFmtId="0" fontId="0" fillId="0" borderId="1" xfId="0" applyBorder="1" applyAlignment="1">
      <alignment horizontal="center" vertical="center" wrapText="1"/>
    </xf>
    <xf numFmtId="0" fontId="39" fillId="0" borderId="26" xfId="0" applyFont="1" applyBorder="1" applyAlignment="1">
      <alignment horizontal="left" vertical="center"/>
    </xf>
    <xf numFmtId="0" fontId="39" fillId="0" borderId="24" xfId="0" applyFont="1" applyBorder="1" applyAlignment="1">
      <alignment horizontal="left" vertical="center" wrapText="1"/>
    </xf>
    <xf numFmtId="0" fontId="43" fillId="0" borderId="5" xfId="0" applyFont="1" applyBorder="1" applyAlignment="1">
      <alignment horizontal="left"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38" fillId="0" borderId="1" xfId="0" applyFont="1" applyBorder="1" applyAlignment="1">
      <alignment horizontal="left" vertical="center" wrapText="1"/>
    </xf>
    <xf numFmtId="0" fontId="39" fillId="34" borderId="18" xfId="0" applyFont="1" applyFill="1" applyBorder="1" applyAlignment="1">
      <alignment horizontal="left" vertical="top" wrapText="1"/>
    </xf>
    <xf numFmtId="0" fontId="39" fillId="34" borderId="20" xfId="0" applyFont="1" applyFill="1" applyBorder="1" applyAlignment="1">
      <alignment horizontal="left" vertical="top" wrapText="1"/>
    </xf>
    <xf numFmtId="0" fontId="39" fillId="0" borderId="25" xfId="0" applyFont="1" applyBorder="1" applyAlignment="1">
      <alignment horizontal="left" vertical="center" wrapText="1"/>
    </xf>
    <xf numFmtId="0" fontId="38" fillId="0" borderId="21" xfId="0" applyFont="1" applyBorder="1" applyAlignment="1">
      <alignment horizontal="left" vertical="center" wrapText="1"/>
    </xf>
    <xf numFmtId="0" fontId="38" fillId="0" borderId="18" xfId="0" applyFont="1" applyBorder="1" applyAlignment="1">
      <alignment horizontal="left" vertical="center" wrapText="1"/>
    </xf>
    <xf numFmtId="0" fontId="1" fillId="0" borderId="2" xfId="0" applyFont="1" applyBorder="1" applyAlignment="1">
      <alignment horizontal="left" vertical="center" wrapText="1"/>
    </xf>
    <xf numFmtId="0" fontId="1" fillId="0" borderId="13" xfId="0" applyFont="1" applyBorder="1" applyAlignment="1">
      <alignment horizontal="left" vertical="center" wrapText="1"/>
    </xf>
    <xf numFmtId="0" fontId="39" fillId="34" borderId="24" xfId="0" applyFont="1" applyFill="1" applyBorder="1" applyAlignment="1">
      <alignment horizontal="left" vertical="center"/>
    </xf>
    <xf numFmtId="0" fontId="39" fillId="34" borderId="25" xfId="0" applyFont="1" applyFill="1" applyBorder="1" applyAlignment="1">
      <alignment horizontal="left" vertical="center"/>
    </xf>
    <xf numFmtId="0" fontId="38" fillId="0" borderId="21" xfId="0" applyFont="1" applyBorder="1" applyAlignment="1">
      <alignment horizontal="center" vertical="center" wrapText="1"/>
    </xf>
    <xf numFmtId="0" fontId="0" fillId="0" borderId="21" xfId="0" applyBorder="1" applyAlignment="1">
      <alignment horizontal="left" vertical="center" wrapText="1"/>
    </xf>
    <xf numFmtId="0" fontId="32" fillId="34" borderId="21" xfId="0" applyFont="1" applyFill="1" applyBorder="1" applyAlignment="1">
      <alignment horizontal="center" vertical="center" wrapText="1"/>
    </xf>
    <xf numFmtId="0" fontId="32" fillId="34" borderId="18" xfId="0" applyFont="1" applyFill="1" applyBorder="1" applyAlignment="1">
      <alignment horizontal="center" vertical="center"/>
    </xf>
    <xf numFmtId="0" fontId="1" fillId="35" borderId="5" xfId="0" applyFont="1" applyFill="1" applyBorder="1" applyAlignment="1">
      <alignment horizontal="center" vertical="center" wrapText="1"/>
    </xf>
    <xf numFmtId="0" fontId="1" fillId="35" borderId="7" xfId="0" applyFont="1" applyFill="1" applyBorder="1" applyAlignment="1">
      <alignment horizontal="center" vertical="center" wrapText="1"/>
    </xf>
    <xf numFmtId="0" fontId="1" fillId="35" borderId="6" xfId="0" applyFont="1" applyFill="1" applyBorder="1" applyAlignment="1">
      <alignment horizontal="center" vertical="center" wrapText="1"/>
    </xf>
    <xf numFmtId="0" fontId="32" fillId="34" borderId="21" xfId="0" applyFont="1" applyFill="1" applyBorder="1" applyAlignment="1">
      <alignment horizontal="left" wrapText="1"/>
    </xf>
    <xf numFmtId="0" fontId="32" fillId="34" borderId="18" xfId="0" applyFont="1" applyFill="1" applyBorder="1" applyAlignment="1">
      <alignment horizontal="left" wrapText="1"/>
    </xf>
    <xf numFmtId="0" fontId="0" fillId="0" borderId="18" xfId="0" applyBorder="1" applyAlignment="1">
      <alignment horizontal="center" vertical="center"/>
    </xf>
    <xf numFmtId="0" fontId="0" fillId="0" borderId="20" xfId="0" applyBorder="1" applyAlignment="1">
      <alignment horizontal="center" vertical="center"/>
    </xf>
    <xf numFmtId="0" fontId="38" fillId="34" borderId="18" xfId="0" applyFont="1" applyFill="1" applyBorder="1" applyAlignment="1">
      <alignment horizontal="center" vertical="center" wrapText="1"/>
    </xf>
    <xf numFmtId="0" fontId="38" fillId="34" borderId="20" xfId="0" applyFont="1" applyFill="1" applyBorder="1" applyAlignment="1">
      <alignment horizontal="center" vertical="center" wrapText="1"/>
    </xf>
    <xf numFmtId="0" fontId="38" fillId="34" borderId="19" xfId="0" applyFont="1" applyFill="1" applyBorder="1" applyAlignment="1">
      <alignment horizontal="center" vertical="center" wrapText="1"/>
    </xf>
    <xf numFmtId="0" fontId="38" fillId="34" borderId="18" xfId="0" applyFont="1" applyFill="1" applyBorder="1" applyAlignment="1">
      <alignment horizontal="left" wrapText="1"/>
    </xf>
    <xf numFmtId="0" fontId="38" fillId="34" borderId="20" xfId="0" applyFont="1" applyFill="1" applyBorder="1" applyAlignment="1">
      <alignment horizontal="left" wrapText="1"/>
    </xf>
    <xf numFmtId="0" fontId="0" fillId="4" borderId="21" xfId="0" applyFill="1" applyBorder="1" applyAlignment="1">
      <alignment horizontal="center" vertical="center"/>
    </xf>
    <xf numFmtId="0" fontId="0" fillId="4" borderId="18" xfId="0" applyFill="1" applyBorder="1" applyAlignment="1">
      <alignment horizontal="center" vertical="center"/>
    </xf>
    <xf numFmtId="0" fontId="0" fillId="0" borderId="21" xfId="0" applyBorder="1" applyAlignment="1">
      <alignment horizontal="center" vertical="center"/>
    </xf>
    <xf numFmtId="0" fontId="32" fillId="34" borderId="18" xfId="0" applyFont="1" applyFill="1" applyBorder="1" applyAlignment="1">
      <alignment horizontal="left"/>
    </xf>
    <xf numFmtId="0" fontId="39" fillId="34" borderId="26" xfId="0" applyFont="1" applyFill="1" applyBorder="1" applyAlignment="1">
      <alignment horizontal="left" vertical="center"/>
    </xf>
    <xf numFmtId="0" fontId="32" fillId="0" borderId="21" xfId="0" applyFont="1" applyBorder="1" applyAlignment="1">
      <alignment horizontal="center" vertical="center" wrapText="1"/>
    </xf>
    <xf numFmtId="0" fontId="0" fillId="37" borderId="21" xfId="0" applyFill="1" applyBorder="1" applyAlignment="1">
      <alignment horizontal="left" vertical="center" wrapText="1"/>
    </xf>
    <xf numFmtId="0" fontId="0" fillId="37" borderId="18" xfId="0" applyFill="1" applyBorder="1" applyAlignment="1">
      <alignment horizontal="left" vertical="center" wrapText="1"/>
    </xf>
    <xf numFmtId="0" fontId="46" fillId="0" borderId="18" xfId="0" applyFont="1" applyBorder="1" applyAlignment="1">
      <alignment horizontal="left" vertical="center" wrapText="1"/>
    </xf>
    <xf numFmtId="0" fontId="46" fillId="0" borderId="19" xfId="0" applyFont="1" applyBorder="1" applyAlignment="1">
      <alignment horizontal="left" vertical="center" wrapText="1"/>
    </xf>
    <xf numFmtId="0" fontId="46" fillId="0" borderId="23" xfId="0" applyFont="1" applyBorder="1" applyAlignment="1">
      <alignment horizontal="left" vertical="center" wrapText="1"/>
    </xf>
    <xf numFmtId="0" fontId="46" fillId="0" borderId="28" xfId="0" applyFont="1" applyBorder="1" applyAlignment="1">
      <alignment horizontal="left" vertical="center" wrapText="1"/>
    </xf>
    <xf numFmtId="0" fontId="46" fillId="0" borderId="29" xfId="0" applyFont="1" applyBorder="1" applyAlignment="1">
      <alignment horizontal="left" vertical="center" wrapText="1"/>
    </xf>
    <xf numFmtId="0" fontId="0" fillId="37" borderId="20" xfId="0" applyFill="1" applyBorder="1" applyAlignment="1">
      <alignment horizontal="left" vertical="center" wrapText="1"/>
    </xf>
    <xf numFmtId="0" fontId="45" fillId="0" borderId="18" xfId="0" applyFont="1" applyBorder="1" applyAlignment="1">
      <alignment horizontal="center" vertical="center"/>
    </xf>
    <xf numFmtId="0" fontId="45" fillId="0" borderId="20" xfId="0" applyFont="1" applyBorder="1" applyAlignment="1">
      <alignment horizontal="center" vertical="center"/>
    </xf>
    <xf numFmtId="0" fontId="0" fillId="37" borderId="18" xfId="0" applyFill="1" applyBorder="1" applyAlignment="1">
      <alignment horizontal="center" vertical="center" wrapText="1"/>
    </xf>
    <xf numFmtId="0" fontId="0" fillId="37" borderId="19" xfId="0" applyFill="1" applyBorder="1" applyAlignment="1">
      <alignment horizontal="center" vertical="center" wrapText="1"/>
    </xf>
    <xf numFmtId="0" fontId="0" fillId="37" borderId="20" xfId="0" applyFill="1" applyBorder="1" applyAlignment="1">
      <alignment horizontal="center" vertical="center" wrapText="1"/>
    </xf>
    <xf numFmtId="0" fontId="39" fillId="34" borderId="27" xfId="0" applyFont="1" applyFill="1" applyBorder="1" applyAlignment="1">
      <alignment horizontal="left" vertical="center"/>
    </xf>
    <xf numFmtId="0" fontId="38" fillId="34" borderId="18" xfId="0" applyFont="1" applyFill="1" applyBorder="1" applyAlignment="1">
      <alignment horizontal="left"/>
    </xf>
    <xf numFmtId="0" fontId="38" fillId="34" borderId="19" xfId="0" applyFont="1" applyFill="1" applyBorder="1" applyAlignment="1">
      <alignment horizontal="left"/>
    </xf>
    <xf numFmtId="0" fontId="32" fillId="34" borderId="21" xfId="0" applyFont="1" applyFill="1" applyBorder="1" applyAlignment="1">
      <alignment horizontal="center" vertical="center"/>
    </xf>
    <xf numFmtId="0" fontId="38" fillId="34" borderId="19" xfId="0" applyFont="1" applyFill="1" applyBorder="1" applyAlignment="1">
      <alignment horizontal="left" wrapText="1"/>
    </xf>
    <xf numFmtId="0" fontId="13" fillId="0" borderId="1" xfId="0" applyFont="1" applyBorder="1" applyAlignment="1">
      <alignment vertical="center" wrapText="1"/>
    </xf>
    <xf numFmtId="0" fontId="0" fillId="0" borderId="1" xfId="0" applyBorder="1" applyAlignment="1">
      <alignment vertical="center"/>
    </xf>
    <xf numFmtId="0" fontId="13" fillId="0" borderId="1" xfId="0" applyFont="1" applyBorder="1" applyAlignment="1">
      <alignment vertical="center"/>
    </xf>
    <xf numFmtId="0" fontId="0" fillId="0" borderId="1" xfId="0" applyBorder="1"/>
    <xf numFmtId="0" fontId="0" fillId="13" borderId="5" xfId="0" applyFill="1" applyBorder="1" applyAlignment="1">
      <alignment vertical="center"/>
    </xf>
    <xf numFmtId="0" fontId="0" fillId="13" borderId="7" xfId="0" applyFill="1" applyBorder="1"/>
    <xf numFmtId="0" fontId="0" fillId="13" borderId="6" xfId="0" applyFill="1" applyBorder="1"/>
    <xf numFmtId="0" fontId="13" fillId="9" borderId="5" xfId="0" applyFont="1" applyFill="1" applyBorder="1" applyAlignment="1">
      <alignment vertical="center" wrapText="1"/>
    </xf>
    <xf numFmtId="0" fontId="0" fillId="0" borderId="6" xfId="0" applyBorder="1"/>
    <xf numFmtId="0" fontId="13" fillId="9" borderId="1" xfId="0" applyFont="1" applyFill="1" applyBorder="1" applyAlignment="1">
      <alignment vertical="center"/>
    </xf>
    <xf numFmtId="0" fontId="0" fillId="9" borderId="1" xfId="0" applyFill="1" applyBorder="1" applyAlignment="1">
      <alignment vertical="center"/>
    </xf>
    <xf numFmtId="0" fontId="13" fillId="0" borderId="5" xfId="0" applyFont="1" applyBorder="1" applyAlignment="1">
      <alignment vertical="center" wrapText="1"/>
    </xf>
    <xf numFmtId="0" fontId="0" fillId="0" borderId="6" xfId="0" applyBorder="1" applyAlignment="1">
      <alignment vertical="center"/>
    </xf>
    <xf numFmtId="0" fontId="13" fillId="9" borderId="1" xfId="0" applyFont="1" applyFill="1" applyBorder="1" applyAlignment="1">
      <alignment vertical="center" wrapText="1"/>
    </xf>
    <xf numFmtId="0" fontId="17" fillId="10" borderId="3" xfId="0" applyFont="1" applyFill="1" applyBorder="1"/>
    <xf numFmtId="0" fontId="0" fillId="0" borderId="4" xfId="0" applyBorder="1"/>
    <xf numFmtId="0" fontId="0" fillId="0" borderId="2" xfId="0" applyBorder="1"/>
    <xf numFmtId="0" fontId="13" fillId="8" borderId="1" xfId="0" applyFont="1" applyFill="1" applyBorder="1" applyAlignment="1">
      <alignment vertical="center" wrapText="1"/>
    </xf>
    <xf numFmtId="0" fontId="0" fillId="8" borderId="1" xfId="0" applyFill="1" applyBorder="1" applyAlignment="1">
      <alignment vertical="center" wrapText="1"/>
    </xf>
    <xf numFmtId="0" fontId="13" fillId="13" borderId="1" xfId="0" applyFont="1" applyFill="1" applyBorder="1" applyAlignment="1">
      <alignment vertical="center"/>
    </xf>
    <xf numFmtId="0" fontId="0" fillId="13" borderId="1" xfId="0" applyFill="1" applyBorder="1" applyAlignment="1">
      <alignment vertical="center"/>
    </xf>
    <xf numFmtId="0" fontId="0" fillId="0" borderId="6" xfId="0" applyBorder="1" applyAlignment="1">
      <alignment vertical="center" wrapText="1"/>
    </xf>
    <xf numFmtId="0" fontId="13" fillId="0" borderId="5" xfId="0" applyFont="1" applyBorder="1" applyAlignment="1">
      <alignment vertical="center"/>
    </xf>
    <xf numFmtId="0" fontId="0" fillId="0" borderId="7" xfId="0" applyBorder="1" applyAlignment="1">
      <alignment vertical="center"/>
    </xf>
    <xf numFmtId="0" fontId="13" fillId="8" borderId="5" xfId="0" applyFont="1" applyFill="1" applyBorder="1" applyAlignment="1">
      <alignment vertical="center" wrapText="1"/>
    </xf>
    <xf numFmtId="0" fontId="13" fillId="13" borderId="5" xfId="0" applyFont="1" applyFill="1" applyBorder="1" applyAlignment="1">
      <alignment vertical="center" wrapText="1"/>
    </xf>
    <xf numFmtId="0" fontId="0" fillId="13" borderId="6" xfId="0" applyFill="1" applyBorder="1" applyAlignment="1">
      <alignment vertical="center" wrapText="1"/>
    </xf>
    <xf numFmtId="0" fontId="16" fillId="10" borderId="10" xfId="0" applyFont="1" applyFill="1" applyBorder="1"/>
    <xf numFmtId="0" fontId="0" fillId="0" borderId="10" xfId="0" applyBorder="1"/>
    <xf numFmtId="0" fontId="15" fillId="5" borderId="9" xfId="0" applyFont="1" applyFill="1" applyBorder="1" applyAlignment="1">
      <alignment vertical="center" wrapText="1"/>
    </xf>
    <xf numFmtId="0" fontId="1" fillId="5" borderId="9" xfId="0" applyFont="1" applyFill="1" applyBorder="1" applyAlignment="1">
      <alignment vertical="center"/>
    </xf>
    <xf numFmtId="0" fontId="1" fillId="5" borderId="12" xfId="0" applyFont="1" applyFill="1" applyBorder="1" applyAlignment="1">
      <alignment vertical="center"/>
    </xf>
    <xf numFmtId="0" fontId="15" fillId="12" borderId="0" xfId="0" applyFont="1" applyFill="1"/>
    <xf numFmtId="0" fontId="13" fillId="10" borderId="10" xfId="0" applyFont="1" applyFill="1" applyBorder="1"/>
    <xf numFmtId="0" fontId="0" fillId="14" borderId="3" xfId="0" applyFill="1" applyBorder="1" applyAlignment="1">
      <alignment wrapText="1"/>
    </xf>
    <xf numFmtId="0" fontId="0" fillId="14" borderId="4" xfId="0" applyFill="1" applyBorder="1" applyAlignment="1">
      <alignment wrapText="1"/>
    </xf>
    <xf numFmtId="0" fontId="0" fillId="0" borderId="2" xfId="0" applyBorder="1" applyAlignment="1">
      <alignment wrapText="1"/>
    </xf>
    <xf numFmtId="0" fontId="1" fillId="5" borderId="5" xfId="0" applyFont="1" applyFill="1" applyBorder="1" applyAlignment="1">
      <alignment vertical="center" wrapText="1"/>
    </xf>
    <xf numFmtId="0" fontId="1" fillId="5" borderId="7" xfId="0" applyFont="1" applyFill="1" applyBorder="1" applyAlignment="1">
      <alignment vertical="center"/>
    </xf>
    <xf numFmtId="0" fontId="1" fillId="5" borderId="6" xfId="0" applyFont="1" applyFill="1" applyBorder="1" applyAlignment="1">
      <alignment vertical="center"/>
    </xf>
    <xf numFmtId="0" fontId="0" fillId="0" borderId="7" xfId="0" applyBorder="1" applyAlignment="1">
      <alignment wrapText="1"/>
    </xf>
    <xf numFmtId="0" fontId="0" fillId="0" borderId="6" xfId="0" applyBorder="1" applyAlignment="1">
      <alignment wrapText="1"/>
    </xf>
    <xf numFmtId="0" fontId="0" fillId="9" borderId="6" xfId="0" applyFill="1" applyBorder="1" applyAlignment="1">
      <alignment vertical="center" wrapText="1"/>
    </xf>
    <xf numFmtId="0" fontId="0" fillId="8" borderId="6" xfId="0" applyFill="1" applyBorder="1" applyAlignment="1">
      <alignment vertical="center" wrapText="1"/>
    </xf>
    <xf numFmtId="0" fontId="0" fillId="9" borderId="6" xfId="0" applyFill="1" applyBorder="1" applyAlignment="1">
      <alignment vertical="center"/>
    </xf>
    <xf numFmtId="0" fontId="0" fillId="8" borderId="6" xfId="0" applyFill="1" applyBorder="1" applyAlignment="1">
      <alignment vertical="center"/>
    </xf>
    <xf numFmtId="0" fontId="0" fillId="13" borderId="6" xfId="0" applyFill="1" applyBorder="1" applyAlignment="1">
      <alignment vertical="center"/>
    </xf>
    <xf numFmtId="0" fontId="0" fillId="0" borderId="5" xfId="0" applyBorder="1" applyAlignment="1">
      <alignment vertical="center" wrapText="1"/>
    </xf>
    <xf numFmtId="0" fontId="0" fillId="0" borderId="5" xfId="0" applyBorder="1" applyAlignment="1">
      <alignment vertical="center"/>
    </xf>
    <xf numFmtId="0" fontId="0" fillId="8" borderId="5" xfId="0" applyFill="1" applyBorder="1" applyAlignment="1">
      <alignment vertical="center" wrapText="1"/>
    </xf>
    <xf numFmtId="0" fontId="0" fillId="13" borderId="5" xfId="0" applyFill="1" applyBorder="1" applyAlignment="1">
      <alignment vertical="center" wrapText="1"/>
    </xf>
    <xf numFmtId="0" fontId="1" fillId="5" borderId="7" xfId="0" applyFont="1" applyFill="1" applyBorder="1" applyAlignment="1">
      <alignment vertical="center" wrapText="1"/>
    </xf>
    <xf numFmtId="0" fontId="1" fillId="0" borderId="7" xfId="0" applyFont="1" applyBorder="1"/>
    <xf numFmtId="0" fontId="1" fillId="0" borderId="6" xfId="0" applyFont="1" applyBorder="1"/>
    <xf numFmtId="0" fontId="0" fillId="9" borderId="1" xfId="0" applyFill="1" applyBorder="1" applyAlignment="1">
      <alignment vertical="center" wrapText="1"/>
    </xf>
    <xf numFmtId="0" fontId="0" fillId="9" borderId="1" xfId="0" applyFill="1" applyBorder="1" applyAlignment="1">
      <alignment wrapText="1"/>
    </xf>
    <xf numFmtId="0" fontId="0" fillId="9" borderId="1" xfId="0" applyFill="1" applyBorder="1"/>
    <xf numFmtId="0" fontId="0" fillId="0" borderId="1" xfId="0" applyBorder="1" applyAlignment="1">
      <alignment vertical="center" wrapText="1"/>
    </xf>
    <xf numFmtId="0" fontId="0" fillId="9" borderId="5" xfId="0" applyFill="1" applyBorder="1" applyAlignment="1">
      <alignment vertical="center" wrapText="1"/>
    </xf>
    <xf numFmtId="0" fontId="0" fillId="10" borderId="10" xfId="0" applyFill="1" applyBorder="1" applyAlignment="1">
      <alignment vertical="center"/>
    </xf>
    <xf numFmtId="0" fontId="0" fillId="0" borderId="10" xfId="0" applyBorder="1" applyAlignment="1">
      <alignment vertical="center"/>
    </xf>
    <xf numFmtId="0" fontId="15" fillId="12" borderId="9" xfId="0" applyFont="1" applyFill="1" applyBorder="1"/>
    <xf numFmtId="0" fontId="1" fillId="0" borderId="0" xfId="0" applyFont="1"/>
    <xf numFmtId="0" fontId="13" fillId="0" borderId="1" xfId="0" applyFont="1" applyBorder="1" applyAlignment="1">
      <alignment wrapText="1"/>
    </xf>
    <xf numFmtId="0" fontId="15" fillId="12" borderId="3" xfId="0" applyFont="1" applyFill="1" applyBorder="1"/>
    <xf numFmtId="0" fontId="1" fillId="5" borderId="6" xfId="0" applyFont="1" applyFill="1" applyBorder="1" applyAlignment="1">
      <alignment vertical="center" wrapText="1"/>
    </xf>
    <xf numFmtId="0" fontId="13" fillId="0" borderId="1" xfId="0" applyFont="1" applyBorder="1"/>
    <xf numFmtId="0" fontId="15" fillId="12" borderId="8" xfId="0" applyFont="1" applyFill="1" applyBorder="1" applyAlignment="1">
      <alignment vertical="center"/>
    </xf>
    <xf numFmtId="0" fontId="15" fillId="12" borderId="8" xfId="0" applyFont="1" applyFill="1" applyBorder="1"/>
    <xf numFmtId="0" fontId="0" fillId="0" borderId="8" xfId="0" applyBorder="1"/>
    <xf numFmtId="0" fontId="0" fillId="8" borderId="5" xfId="0" applyFill="1" applyBorder="1" applyAlignment="1">
      <alignment horizontal="left" vertical="center" wrapText="1"/>
    </xf>
    <xf numFmtId="0" fontId="0" fillId="0" borderId="6" xfId="0" applyBorder="1" applyAlignment="1">
      <alignment horizontal="left" wrapText="1"/>
    </xf>
    <xf numFmtId="0" fontId="0" fillId="5" borderId="7" xfId="0" applyFill="1" applyBorder="1" applyAlignment="1">
      <alignment vertical="center" wrapText="1"/>
    </xf>
    <xf numFmtId="0" fontId="0" fillId="5" borderId="6" xfId="0" applyFill="1" applyBorder="1" applyAlignment="1">
      <alignment vertical="center" wrapText="1"/>
    </xf>
    <xf numFmtId="0" fontId="0" fillId="0" borderId="6" xfId="0" applyBorder="1" applyAlignment="1">
      <alignment horizontal="left" vertical="center"/>
    </xf>
    <xf numFmtId="0" fontId="0" fillId="13" borderId="5" xfId="0" applyFill="1" applyBorder="1" applyAlignment="1">
      <alignment horizontal="left" vertical="center" wrapText="1"/>
    </xf>
    <xf numFmtId="0" fontId="0" fillId="13" borderId="6" xfId="0" applyFill="1" applyBorder="1" applyAlignment="1">
      <alignment horizontal="left" vertical="center" wrapText="1"/>
    </xf>
    <xf numFmtId="0" fontId="0" fillId="13" borderId="5" xfId="0" applyFill="1" applyBorder="1" applyAlignment="1">
      <alignment horizontal="left" vertical="top" wrapText="1"/>
    </xf>
    <xf numFmtId="0" fontId="0" fillId="13" borderId="7" xfId="0" applyFill="1" applyBorder="1" applyAlignment="1">
      <alignment horizontal="left" vertical="top" wrapText="1"/>
    </xf>
    <xf numFmtId="0" fontId="0" fillId="13" borderId="6" xfId="0" applyFill="1" applyBorder="1" applyAlignment="1">
      <alignment horizontal="left" vertical="top" wrapText="1"/>
    </xf>
    <xf numFmtId="0" fontId="15" fillId="14" borderId="1" xfId="0" applyFont="1" applyFill="1" applyBorder="1" applyAlignment="1">
      <alignment vertical="top"/>
    </xf>
    <xf numFmtId="0" fontId="1" fillId="14" borderId="1" xfId="0" applyFont="1" applyFill="1" applyBorder="1"/>
    <xf numFmtId="0" fontId="16" fillId="10" borderId="3" xfId="0" applyFont="1" applyFill="1" applyBorder="1" applyAlignment="1">
      <alignment vertical="center"/>
    </xf>
    <xf numFmtId="0" fontId="0" fillId="0" borderId="2" xfId="0" applyBorder="1" applyAlignment="1">
      <alignment vertical="center"/>
    </xf>
    <xf numFmtId="0" fontId="8" fillId="10" borderId="1" xfId="0" applyFont="1" applyFill="1" applyBorder="1" applyAlignment="1">
      <alignment horizontal="left" vertical="center" wrapText="1"/>
    </xf>
    <xf numFmtId="0" fontId="0" fillId="0" borderId="1" xfId="0" applyBorder="1" applyAlignment="1">
      <alignment wrapText="1"/>
    </xf>
    <xf numFmtId="0" fontId="15" fillId="12" borderId="3" xfId="0" applyFont="1" applyFill="1" applyBorder="1" applyAlignment="1">
      <alignment vertical="center"/>
    </xf>
    <xf numFmtId="0" fontId="13" fillId="12" borderId="1" xfId="0" applyFont="1" applyFill="1" applyBorder="1" applyAlignment="1">
      <alignment vertical="center"/>
    </xf>
    <xf numFmtId="0" fontId="1" fillId="0" borderId="8" xfId="0" applyFont="1" applyBorder="1"/>
    <xf numFmtId="0" fontId="13" fillId="8" borderId="5" xfId="0" applyFont="1" applyFill="1" applyBorder="1" applyAlignment="1">
      <alignment wrapText="1"/>
    </xf>
    <xf numFmtId="0" fontId="13" fillId="13" borderId="5" xfId="0" applyFont="1" applyFill="1" applyBorder="1" applyAlignment="1">
      <alignment wrapText="1"/>
    </xf>
    <xf numFmtId="0" fontId="0" fillId="13" borderId="6" xfId="0" applyFill="1" applyBorder="1" applyAlignment="1">
      <alignment wrapText="1"/>
    </xf>
    <xf numFmtId="0" fontId="0" fillId="5" borderId="5" xfId="0" applyFill="1" applyBorder="1" applyAlignment="1">
      <alignment vertical="center" wrapText="1"/>
    </xf>
    <xf numFmtId="0" fontId="0" fillId="5" borderId="7" xfId="0" applyFill="1" applyBorder="1" applyAlignment="1">
      <alignment vertical="center"/>
    </xf>
    <xf numFmtId="0" fontId="0" fillId="5" borderId="6" xfId="0" applyFill="1" applyBorder="1" applyAlignment="1">
      <alignment vertical="center"/>
    </xf>
    <xf numFmtId="0" fontId="13" fillId="9" borderId="1" xfId="0" applyFont="1" applyFill="1" applyBorder="1" applyAlignment="1">
      <alignment wrapText="1"/>
    </xf>
    <xf numFmtId="0" fontId="0" fillId="12" borderId="0" xfId="0" applyFill="1"/>
    <xf numFmtId="0" fontId="0" fillId="0" borderId="0" xfId="0"/>
    <xf numFmtId="0" fontId="0" fillId="8" borderId="5" xfId="0" applyFill="1" applyBorder="1" applyAlignment="1">
      <alignment vertical="top" wrapText="1"/>
    </xf>
    <xf numFmtId="0" fontId="0" fillId="0" borderId="6" xfId="0" applyBorder="1" applyAlignment="1">
      <alignment vertical="top" wrapText="1"/>
    </xf>
    <xf numFmtId="0" fontId="0" fillId="5" borderId="11" xfId="0" applyFill="1" applyBorder="1" applyAlignment="1">
      <alignment horizontal="left" vertical="center" wrapText="1"/>
    </xf>
    <xf numFmtId="0" fontId="0" fillId="5" borderId="9" xfId="0" applyFill="1" applyBorder="1" applyAlignment="1">
      <alignment horizontal="left"/>
    </xf>
    <xf numFmtId="0" fontId="0" fillId="5" borderId="12" xfId="0" applyFill="1" applyBorder="1" applyAlignment="1">
      <alignment horizontal="left"/>
    </xf>
    <xf numFmtId="0" fontId="1" fillId="14" borderId="1" xfId="0" applyFont="1" applyFill="1" applyBorder="1" applyAlignment="1">
      <alignment wrapText="1"/>
    </xf>
    <xf numFmtId="0" fontId="1" fillId="0" borderId="1" xfId="0" applyFont="1" applyBorder="1"/>
    <xf numFmtId="0" fontId="0" fillId="10" borderId="10" xfId="0" applyFill="1" applyBorder="1"/>
    <xf numFmtId="0" fontId="0" fillId="13" borderId="6" xfId="0" applyFill="1" applyBorder="1" applyAlignment="1">
      <alignment horizontal="left" vertical="center"/>
    </xf>
    <xf numFmtId="0" fontId="0" fillId="13" borderId="7" xfId="0" applyFill="1" applyBorder="1" applyAlignment="1">
      <alignment vertical="center"/>
    </xf>
    <xf numFmtId="0" fontId="1" fillId="12" borderId="8" xfId="0" applyFont="1" applyFill="1" applyBorder="1"/>
    <xf numFmtId="0" fontId="17" fillId="10" borderId="10" xfId="0" applyFont="1" applyFill="1" applyBorder="1"/>
    <xf numFmtId="0" fontId="0" fillId="13" borderId="7" xfId="0" applyFill="1" applyBorder="1" applyAlignment="1">
      <alignment wrapText="1"/>
    </xf>
    <xf numFmtId="0" fontId="0" fillId="13" borderId="5" xfId="0" applyFill="1" applyBorder="1" applyAlignment="1">
      <alignment vertical="top" wrapText="1"/>
    </xf>
    <xf numFmtId="0" fontId="0" fillId="13" borderId="6" xfId="0" applyFill="1" applyBorder="1" applyAlignment="1">
      <alignment vertical="top" wrapText="1"/>
    </xf>
    <xf numFmtId="0" fontId="18" fillId="7" borderId="0" xfId="0" applyFont="1" applyFill="1" applyAlignment="1">
      <alignment horizontal="left" vertical="center"/>
    </xf>
    <xf numFmtId="0" fontId="2" fillId="11" borderId="0" xfId="0" applyFont="1" applyFill="1" applyAlignment="1">
      <alignment vertical="center" wrapText="1"/>
    </xf>
    <xf numFmtId="0" fontId="2" fillId="11" borderId="0" xfId="0" applyFont="1" applyFill="1" applyAlignment="1">
      <alignment vertical="center"/>
    </xf>
    <xf numFmtId="0" fontId="17" fillId="10" borderId="10" xfId="0" applyFont="1" applyFill="1" applyBorder="1" applyAlignment="1">
      <alignment vertical="top"/>
    </xf>
    <xf numFmtId="0" fontId="0" fillId="0" borderId="8" xfId="0" applyBorder="1" applyAlignment="1">
      <alignment vertical="center"/>
    </xf>
    <xf numFmtId="0" fontId="13" fillId="9" borderId="3" xfId="0" applyFont="1" applyFill="1" applyBorder="1" applyAlignment="1">
      <alignment vertical="center" wrapText="1"/>
    </xf>
    <xf numFmtId="0" fontId="0" fillId="0" borderId="4" xfId="0" applyBorder="1" applyAlignment="1">
      <alignment vertical="center"/>
    </xf>
    <xf numFmtId="0" fontId="1" fillId="5" borderId="7" xfId="0" applyFont="1" applyFill="1" applyBorder="1" applyAlignment="1">
      <alignment wrapText="1"/>
    </xf>
    <xf numFmtId="0" fontId="1" fillId="5" borderId="6" xfId="0" applyFont="1" applyFill="1" applyBorder="1" applyAlignment="1">
      <alignment wrapText="1"/>
    </xf>
    <xf numFmtId="0" fontId="15" fillId="10" borderId="10" xfId="0" applyFont="1" applyFill="1" applyBorder="1"/>
    <xf numFmtId="0" fontId="1" fillId="5" borderId="7" xfId="0" applyFont="1" applyFill="1" applyBorder="1"/>
    <xf numFmtId="0" fontId="1" fillId="5" borderId="6" xfId="0" applyFont="1" applyFill="1" applyBorder="1"/>
    <xf numFmtId="0" fontId="1" fillId="12" borderId="0" xfId="0" applyFont="1" applyFill="1"/>
    <xf numFmtId="0" fontId="0" fillId="12" borderId="4" xfId="0" applyFill="1" applyBorder="1" applyAlignment="1">
      <alignment vertical="center" wrapText="1"/>
    </xf>
    <xf numFmtId="0" fontId="7" fillId="10" borderId="4" xfId="0" applyFont="1" applyFill="1" applyBorder="1" applyAlignment="1">
      <alignment vertical="center" wrapText="1"/>
    </xf>
    <xf numFmtId="0" fontId="1" fillId="5" borderId="9" xfId="0" applyFont="1" applyFill="1" applyBorder="1" applyAlignment="1">
      <alignment wrapText="1"/>
    </xf>
    <xf numFmtId="0" fontId="1" fillId="5" borderId="12" xfId="0" applyFont="1" applyFill="1" applyBorder="1"/>
    <xf numFmtId="0" fontId="0" fillId="12" borderId="3" xfId="0" applyFill="1" applyBorder="1"/>
    <xf numFmtId="0" fontId="0" fillId="0" borderId="1" xfId="0" applyBorder="1" applyAlignment="1">
      <alignment horizontal="center" vertical="center" textRotation="90" wrapText="1"/>
    </xf>
    <xf numFmtId="0" fontId="0" fillId="0" borderId="5" xfId="0" applyBorder="1" applyAlignment="1">
      <alignment horizontal="center" vertical="center" textRotation="90" wrapText="1"/>
    </xf>
    <xf numFmtId="0" fontId="0" fillId="0" borderId="7" xfId="0" applyBorder="1" applyAlignment="1">
      <alignment horizontal="center" vertical="center" textRotation="90" wrapText="1"/>
    </xf>
    <xf numFmtId="0" fontId="0" fillId="0" borderId="6" xfId="0" applyBorder="1" applyAlignment="1">
      <alignment horizontal="center" vertical="center" textRotation="90" wrapText="1"/>
    </xf>
    <xf numFmtId="0" fontId="0" fillId="10" borderId="1" xfId="0" applyFill="1" applyBorder="1" applyAlignment="1">
      <alignment vertical="center"/>
    </xf>
    <xf numFmtId="0" fontId="0" fillId="0" borderId="1" xfId="0" applyBorder="1" applyAlignment="1">
      <alignment horizontal="left" vertical="top" wrapText="1"/>
    </xf>
    <xf numFmtId="0" fontId="16" fillId="10" borderId="1" xfId="0" applyFont="1" applyFill="1" applyBorder="1" applyAlignment="1">
      <alignment vertical="center"/>
    </xf>
    <xf numFmtId="0" fontId="15" fillId="12" borderId="1" xfId="0" applyFont="1" applyFill="1" applyBorder="1" applyAlignment="1">
      <alignment vertical="center"/>
    </xf>
    <xf numFmtId="0" fontId="15" fillId="12" borderId="1" xfId="0" applyFont="1" applyFill="1" applyBorder="1"/>
    <xf numFmtId="0" fontId="13" fillId="10" borderId="1" xfId="0" applyFont="1" applyFill="1" applyBorder="1"/>
    <xf numFmtId="0" fontId="0" fillId="0" borderId="1" xfId="0" applyBorder="1" applyAlignment="1">
      <alignment horizontal="left" wrapText="1"/>
    </xf>
    <xf numFmtId="0" fontId="16" fillId="10" borderId="1" xfId="0" applyFont="1" applyFill="1" applyBorder="1"/>
    <xf numFmtId="0" fontId="0" fillId="12" borderId="1" xfId="0" applyFill="1" applyBorder="1"/>
    <xf numFmtId="0" fontId="17" fillId="10" borderId="1" xfId="0" applyFont="1" applyFill="1" applyBorder="1"/>
    <xf numFmtId="0" fontId="0" fillId="0" borderId="1" xfId="0" applyBorder="1" applyAlignment="1">
      <alignment horizontal="left"/>
    </xf>
    <xf numFmtId="0" fontId="0" fillId="14" borderId="1" xfId="0" applyFill="1" applyBorder="1" applyAlignment="1">
      <alignment wrapText="1"/>
    </xf>
    <xf numFmtId="0" fontId="17" fillId="10" borderId="1" xfId="0" applyFont="1" applyFill="1" applyBorder="1" applyAlignment="1">
      <alignment vertical="top"/>
    </xf>
    <xf numFmtId="0" fontId="0" fillId="10" borderId="1" xfId="0" applyFill="1" applyBorder="1"/>
    <xf numFmtId="0" fontId="1" fillId="12" borderId="1" xfId="0" applyFont="1" applyFill="1" applyBorder="1"/>
    <xf numFmtId="0" fontId="7" fillId="10" borderId="1" xfId="0" applyFont="1" applyFill="1" applyBorder="1" applyAlignment="1">
      <alignment vertical="center" wrapText="1"/>
    </xf>
    <xf numFmtId="0" fontId="0" fillId="12" borderId="1" xfId="0" applyFill="1" applyBorder="1" applyAlignment="1">
      <alignment vertical="center" wrapText="1"/>
    </xf>
    <xf numFmtId="0" fontId="28" fillId="0" borderId="1" xfId="0" applyFont="1" applyBorder="1" applyAlignment="1">
      <alignment vertical="center" wrapText="1"/>
    </xf>
    <xf numFmtId="0" fontId="21" fillId="0" borderId="1" xfId="0" applyFont="1" applyBorder="1" applyAlignment="1">
      <alignment vertical="center" wrapText="1"/>
    </xf>
    <xf numFmtId="0" fontId="0" fillId="0" borderId="1" xfId="0" applyBorder="1" applyAlignment="1">
      <alignment vertical="top" wrapText="1"/>
    </xf>
    <xf numFmtId="0" fontId="15" fillId="10" borderId="1" xfId="0" applyFont="1" applyFill="1" applyBorder="1"/>
    <xf numFmtId="0" fontId="23" fillId="0" borderId="0" xfId="0" applyFont="1" applyAlignment="1">
      <alignment horizontal="left" vertical="center"/>
    </xf>
    <xf numFmtId="0" fontId="25" fillId="0" borderId="0" xfId="0" applyFont="1" applyAlignment="1">
      <alignment vertical="center" wrapText="1"/>
    </xf>
    <xf numFmtId="0" fontId="25" fillId="0" borderId="0" xfId="0" applyFont="1" applyAlignment="1">
      <alignment vertical="center"/>
    </xf>
    <xf numFmtId="0" fontId="30" fillId="0" borderId="1" xfId="0" applyFont="1" applyBorder="1" applyAlignment="1">
      <alignment vertical="center" wrapText="1"/>
    </xf>
    <xf numFmtId="0" fontId="24" fillId="0" borderId="1" xfId="0" applyFont="1" applyBorder="1" applyAlignment="1">
      <alignment vertical="center" wrapText="1"/>
    </xf>
    <xf numFmtId="0" fontId="20" fillId="0" borderId="5" xfId="0" applyFont="1" applyBorder="1" applyAlignment="1">
      <alignment horizontal="left" vertical="center"/>
    </xf>
    <xf numFmtId="0" fontId="20" fillId="0" borderId="6" xfId="0" applyFont="1" applyBorder="1" applyAlignment="1">
      <alignment horizontal="left" vertical="center"/>
    </xf>
  </cellXfs>
  <cellStyles count="1">
    <cellStyle name="Normal" xfId="0" builtinId="0"/>
  </cellStyles>
  <dxfs count="0"/>
  <tableStyles count="0" defaultTableStyle="TableStyleMedium9" defaultPivotStyle="PivotStyleLight16"/>
  <colors>
    <mruColors>
      <color rgb="FFFF6FCA"/>
      <color rgb="FFFFE722"/>
      <color rgb="FFFF10B9"/>
      <color rgb="FF7BFF51"/>
      <color rgb="FFC1FFBC"/>
      <color rgb="FFFF5996"/>
      <color rgb="FFFFFF57"/>
      <color rgb="FF66FFFF"/>
      <color rgb="FFFA7388"/>
      <color rgb="FFEFFA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Diana Ortigoza" id="{8D962F3E-6E49-41E8-9451-340C2173E9E3}" userId="diana.ortigoza@paracel.com.py" providerId="PeoplePicker"/>
  <person displayName="Diana Ortigoza" id="{0C1F7BD5-0DAE-4C82-B721-864510B5785E}" userId="S::diana.ortigoza@paracel.com.py::d16c9826-28c4-4bf5-8f09-b2e51ef32214" providerId="AD"/>
  <person displayName="Noelia Mendoza" id="{7136914B-BDB8-4E65-A077-09529BFCF1BA}" userId="S::noelia.mendoza@paracel.com.py::c248e5f2-3e3b-4fb1-8875-e1bf752a61e5" providerId="AD"/>
  <person displayName="Gloria Del Puerto (Ext)" id="{877469D7-2D77-4AE6-81B1-A10AE854E77A}" userId="S::gloria.delpuerto.ext@paracel.com.py::b2258bba-2dce-45ae-a905-8ef639e34dc6" providerId="AD"/>
  <person displayName="Daniela Mazo" id="{B2C31978-AF46-4E20-9F67-F84ADACD3F67}" userId="S::dmc_silvicarbon.com#ext#@paracel.onmicrosoft.com::8c2d6337-5db5-4e80-af82-31c06e54c6a0"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3" dT="2024-10-24T17:29:39.52" personId="{877469D7-2D77-4AE6-81B1-A10AE854E77A}" id="{D555957C-0834-4810-AB78-0CFBB50A618F}" done="1">
    <text xml:space="preserve">@Diana Ortigoza Los 53 productores de ACPN corresponden al componenete forestal? </text>
    <mentions>
      <mention mentionpersonId="{8D962F3E-6E49-41E8-9451-340C2173E9E3}" mentionId="{B24FCB39-157F-46E6-A720-FB159233EDC5}" startIndex="0" length="15"/>
    </mentions>
  </threadedComment>
  <threadedComment ref="I3" dT="2024-10-24T18:36:53.75" personId="{0C1F7BD5-0DAE-4C82-B721-864510B5785E}" id="{BA5770C5-9162-4054-8B2D-FD0904382BF7}" parentId="{D555957C-0834-4810-AB78-0CFBB50A618F}">
    <text>Si Gloria, es Industrial, eliminá nomas.</text>
  </threadedComment>
  <threadedComment ref="J3" dT="2024-10-24T17:32:01.63" personId="{877469D7-2D77-4AE6-81B1-A10AE854E77A}" id="{5C405329-A3C3-4F12-9056-79AF71152BB5}" done="1">
    <text xml:space="preserve">Paso Horqueta y Concepción tambien serian parte del componente forestal? @Diana Ortigoza </text>
    <mentions>
      <mention mentionpersonId="{8D962F3E-6E49-41E8-9451-340C2173E9E3}" mentionId="{13EECC4B-CC25-490E-B967-6D3C205BDFF8}" startIndex="73" length="15"/>
    </mentions>
  </threadedComment>
  <threadedComment ref="J3" dT="2024-10-24T18:40:29.22" personId="{0C1F7BD5-0DAE-4C82-B721-864510B5785E}" id="{BD462DF1-3B23-4873-B1A0-C07A47473626}" parentId="{5C405329-A3C3-4F12-9056-79AF71152BB5}">
    <text>Nos dijeron que sólo tendrían en cuenta 2023, por lo que ahí realizamos el cambio.</text>
  </threadedComment>
  <threadedComment ref="J19" dT="2024-10-24T17:44:41.91" personId="{877469D7-2D77-4AE6-81B1-A10AE854E77A}" id="{6306D9FC-785A-4AD7-BCC3-09059BDEE1D5}">
    <text xml:space="preserve">L petit seria forestal? @Diana Ortigoza </text>
    <mentions>
      <mention mentionpersonId="{8D962F3E-6E49-41E8-9451-340C2173E9E3}" mentionId="{EEB8B817-7DF0-4121-91CE-D499913AD17B}" startIndex="24" length="15"/>
    </mentions>
  </threadedComment>
  <threadedComment ref="J21" dT="2024-10-24T17:45:27.08" personId="{877469D7-2D77-4AE6-81B1-A10AE854E77A}" id="{33032412-8FA1-4F32-A847-826736B463A4}">
    <text xml:space="preserve">Lo mismo aquí, l petit sería forestal? @Diana Ortigoza </text>
    <mentions>
      <mention mentionpersonId="{8D962F3E-6E49-41E8-9451-340C2173E9E3}" mentionId="{2D77A895-30FD-409A-8E5B-4EADC062F186}" startIndex="39" length="15"/>
    </mentions>
  </threadedComment>
  <threadedComment ref="J24" dT="2024-10-24T17:46:42.34" personId="{877469D7-2D77-4AE6-81B1-A10AE854E77A}" id="{0506AC30-F5E0-4C52-ADB8-F9018AFDF35A}">
    <text>En el AID del componente forestal?</text>
  </threadedComment>
  <threadedComment ref="J48" dT="2024-08-14T21:12:25.93" personId="{7136914B-BDB8-4E65-A077-09529BFCF1BA}" id="{E8366B33-014B-4815-B499-94456D4E4E99}">
    <text>El resto de los buzones se encuentran en reparación y serán instalados próximamente</text>
  </threadedComment>
  <threadedComment ref="I51" dT="2024-10-23T22:16:55.93" personId="{B2C31978-AF46-4E20-9F67-F84ADACD3F67}" id="{88FC8231-7154-42E9-AC49-3F9D98BEFDE5}">
    <text xml:space="preserve">¿Me podrían dar mas información de que tipo de casos son? </text>
  </threadedComment>
  <threadedComment ref="I51" dT="2024-10-24T18:30:49.48" personId="{877469D7-2D77-4AE6-81B1-A10AE854E77A}" id="{90DEA112-8AD1-4A1A-B5BB-F3B6FBD5A2D8}" parentId="{88FC8231-7154-42E9-AC49-3F9D98BEFDE5}">
    <text>@Diana Ortigoza considerando que algunos informes podrian ser de carácter confidencial, podriamos tener detalles de estos 31 casos como 1) tipo de contacto, 2) categoria de priorización 3) categoría del asunto tratado? 
Estos 31 fueron tratados por el comité o a que corresponderían puntualmente?</text>
    <mentions>
      <mention mentionpersonId="{8D962F3E-6E49-41E8-9451-340C2173E9E3}" mentionId="{B3B1BBB6-6479-4041-9572-B897600E9C00}" startIndex="0" length="15"/>
    </mentions>
  </threadedComment>
  <threadedComment ref="I65" dT="2024-10-24T19:01:34.61" personId="{877469D7-2D77-4AE6-81B1-A10AE854E77A}" id="{2A099345-E13B-45CF-B950-472BFB5E8C9C}">
    <text>En la planilla anterior estaban aca tambien comunidades del com. Industrial. Pero el numero de personas alcanzadas se mantuvo en 24 en ambos reportes. Eso no vario? O no se discrimina en la base de datos?</text>
  </threadedComment>
  <threadedComment ref="G99" dT="2024-08-19T23:51:14.52" personId="{7136914B-BDB8-4E65-A077-09529BFCF1BA}" id="{F571D4B5-6FD2-44B1-ACA5-1363F9D68811}">
    <text>Reuniones con el MTESS, SNPP y SENAI</text>
  </threadedComment>
  <threadedComment ref="H99" dT="2024-08-19T23:56:23.75" personId="{7136914B-BDB8-4E65-A077-09529BFCF1BA}" id="{742685F9-8B92-495E-AA3D-55CA2160E816}">
    <text>Reuniones con el MTESS, SNPP y SENAI</text>
  </threadedComment>
  <threadedComment ref="J99" dT="2024-08-20T00:30:07.68" personId="{7136914B-BDB8-4E65-A077-09529BFCF1BA}" id="{EFA84B8C-84E7-4D7D-9388-3040E2306538}">
    <text>Con el SNPP para planificación de jornadas de capacitación y certificación</text>
  </threadedComment>
  <threadedComment ref="G100" dT="2024-08-19T23:51:36.92" personId="{7136914B-BDB8-4E65-A077-09529BFCF1BA}" id="{8B138209-BC36-4660-9D52-6B3B7389B456}">
    <text>Cursos de nivelación y proceso formativo con el SENAI</text>
  </threadedComment>
  <threadedComment ref="H100" dT="2024-08-19T23:56:59.50" personId="{7136914B-BDB8-4E65-A077-09529BFCF1BA}" id="{0DE37E36-5EEB-4AE5-901B-8A106E6CB1BF}">
    <text>Proceso formativo con el SENAI para futuros operarios de planta de celulosa</text>
  </threadedComment>
  <threadedComment ref="I100" dT="2024-08-20T00:26:34.52" personId="{7136914B-BDB8-4E65-A077-09529BFCF1BA}" id="{06433816-FC07-4B02-AD7E-82EA2BFAAB63}">
    <text>Jornadas de certificación (2) y capacitación (1)</text>
  </threadedComment>
  <threadedComment ref="G103" dT="2024-08-20T00:01:20.25" personId="{7136914B-BDB8-4E65-A077-09529BFCF1BA}" id="{037F0C6E-F097-4AFC-9D34-DC5272D20EE9}">
    <text>Nivelación + Operario de Planta de Celulosa</text>
  </threadedComment>
  <threadedComment ref="H103" dT="2024-08-20T00:01:43.95" personId="{7136914B-BDB8-4E65-A077-09529BFCF1BA}" id="{EEB2D9D2-67D4-4017-B95E-93FEB22C9C48}">
    <text>Operario de planta de celulosa</text>
  </threadedComment>
  <threadedComment ref="J103" dT="2024-08-20T00:24:23.86" personId="{7136914B-BDB8-4E65-A077-09529BFCF1BA}" id="{E7DE79C0-394A-43C9-A97A-1D26CAC0C050}">
    <text>En alianza con el SNPP</text>
  </threadedComment>
  <threadedComment ref="G104" dT="2024-08-20T00:00:25.64" personId="{7136914B-BDB8-4E65-A077-09529BFCF1BA}" id="{0AE2B797-F78F-4286-BEEE-6EF330B42EA8}">
    <text>Proceso formativo con el MTESS-SENAI</text>
  </threadedComment>
  <threadedComment ref="H104" dT="2024-08-20T00:00:37.32" personId="{7136914B-BDB8-4E65-A077-09529BFCF1BA}" id="{2ADF54A8-4D50-4C77-A486-7984B2F4C8D8}">
    <text>Proceso formativo con el MTESS-SENAI
Jornadas de certificación con el SNPP</text>
  </threadedComment>
  <threadedComment ref="I104" dT="2024-10-24T19:08:10.73" personId="{877469D7-2D77-4AE6-81B1-A10AE854E77A}" id="{15ED6FF7-87A7-4683-95DD-9AF1F856E1ED}">
    <text>Esto tambien seria en el comp. Forestal?</text>
  </threadedComment>
  <threadedComment ref="I122" dT="2024-08-20T02:10:23.72" personId="{7136914B-BDB8-4E65-A077-09529BFCF1BA}" id="{A7B01463-82B6-4059-9D92-299FB497E03C}">
    <text>Sustentabilidad Social y criterios sociales puntuados en auditorías a contratistas forestales</text>
  </threadedComment>
  <threadedComment ref="I130" dT="2024-08-20T02:27:40.50" personId="{7136914B-BDB8-4E65-A077-09529BFCF1BA}" id="{B24A8C25-7B71-4B86-B3AE-B5A642D2D10C}">
    <text>Del área AMB</text>
  </threadedComment>
  <threadedComment ref="J130" dT="2024-08-20T02:27:58.49" personId="{7136914B-BDB8-4E65-A077-09529BFCF1BA}" id="{B6B89C6E-A849-4C11-B5A5-A5BC19A1DC52}">
    <text>Del área AMB</text>
  </threadedComment>
  <threadedComment ref="I136" dT="2024-10-24T19:13:10.69" personId="{877469D7-2D77-4AE6-81B1-A10AE854E77A}" id="{7BC0F4E4-9FD6-4AA5-B287-9B47890705F1}">
    <text>Quedan los numeros solo del comp. Forestal? teniamos identificado en la planilla anterior que incluia el componente industrial. Pero los numeros no variaron</text>
  </threadedComment>
  <threadedComment ref="G142" dT="2024-08-20T01:01:33.03" personId="{7136914B-BDB8-4E65-A077-09529BFCF1BA}" id="{A8B7D8FF-CE4E-430A-B6DB-DAE074F09390}">
    <text>Capacitación sobre arqueología preventiva con la SNC</text>
  </threadedComment>
  <threadedComment ref="I169" dT="2024-10-24T19:15:43.34" personId="{877469D7-2D77-4AE6-81B1-A10AE854E77A}" id="{3D65254B-FA35-4C79-8F71-EC013F585254}">
    <text>Concepcion centro tampoco seria forestal vd? Serian 3 comunidades nada mas. Esas 300 personas no se pueden discriminar para dejar solo las de comunidad forestal?</text>
  </threadedComment>
  <threadedComment ref="J169" dT="2024-10-25T13:22:26.48" personId="{877469D7-2D77-4AE6-81B1-A10AE854E77A}" id="{652B655F-5E62-4F6B-9C5B-532A3C00E31E}">
    <text>“Anteriores:  Centro de la ciudad, Paso Barreto, Redención, Ko´e Pora, Vy´a Renda, Anderi.
Nuevas comunidades a incorporar: Agrandar la muestra en la Ciudad de Concepción y las demás serán: Piquete Cue, Laguna Plato, Pyrenda, Hugua Ñandú y Takuarita
“</text>
  </threadedComment>
  <threadedComment ref="I180" dT="2024-10-24T19:19:01.59" personId="{877469D7-2D77-4AE6-81B1-A10AE854E77A}" id="{ADA6396F-C9CC-4290-91BA-466FFD18264B}">
    <text>Para confirmar, estas tambien habrian sido con comunidades/mujeres de las comunidades del comp forestal?</text>
  </threadedComment>
  <threadedComment ref="G193" dT="2024-08-16T14:01:46.37" personId="{7136914B-BDB8-4E65-A077-09529BFCF1BA}" id="{0568ED52-A733-44E8-B17C-B623C7B89B9B}">
    <text>Capacitaciones en temas relacionados a la Seguridad Vial y Primeros Auxilios, exclusivamente.</text>
  </threadedComment>
  <threadedComment ref="H193" dT="2024-08-16T14:01:39.60" personId="{7136914B-BDB8-4E65-A077-09529BFCF1BA}" id="{546DB386-803D-4D61-97C4-AA14CB2FA435}">
    <text>Capacitaciones en temas relacionados a la Seguridad Vial y Primeros Auxilios, exclusivamente.</text>
  </threadedComment>
  <threadedComment ref="I193" dT="2024-08-16T14:01:26.26" personId="{7136914B-BDB8-4E65-A077-09529BFCF1BA}" id="{EAD7477D-7936-43F8-BA3C-3F3D637ADA44}">
    <text>Capacitaciones en temas relacionados a la Seguridad Vial y Primeros Auxilios, exclusivamente.</text>
  </threadedComment>
  <threadedComment ref="I214" dT="2024-10-24T19:20:49.93" personId="{877469D7-2D77-4AE6-81B1-A10AE854E77A}" id="{22036613-5A6E-4C8A-80C2-0DDFF1049AB6}">
    <text xml:space="preserve">Dejamos en 2? Hugua ñandu y paso barreto?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2"/>
  <sheetViews>
    <sheetView topLeftCell="A16" zoomScale="70" zoomScaleNormal="70" workbookViewId="0">
      <selection activeCell="J13" sqref="J13"/>
    </sheetView>
  </sheetViews>
  <sheetFormatPr baseColWidth="10" defaultColWidth="11.453125" defaultRowHeight="14.5"/>
  <cols>
    <col min="1" max="1" width="3.36328125" customWidth="1"/>
    <col min="2" max="2" width="56.453125" customWidth="1"/>
    <col min="3" max="3" width="40.6328125" customWidth="1"/>
    <col min="4" max="4" width="56" customWidth="1"/>
    <col min="5" max="6" width="55.6328125" customWidth="1"/>
    <col min="7" max="7" width="48.6328125" customWidth="1"/>
    <col min="8" max="8" width="30.6328125" customWidth="1"/>
    <col min="9" max="9" width="20.453125" customWidth="1"/>
    <col min="10" max="10" width="36.453125" customWidth="1"/>
    <col min="11" max="11" width="21.453125" style="2" customWidth="1"/>
    <col min="12" max="12" width="35.90625" style="2" customWidth="1"/>
  </cols>
  <sheetData>
    <row r="1" spans="2:12" ht="36" customHeight="1">
      <c r="B1" s="557" t="s">
        <v>0</v>
      </c>
      <c r="C1" s="557"/>
      <c r="D1" s="557"/>
      <c r="E1" s="557"/>
      <c r="F1" s="557"/>
      <c r="G1" s="557"/>
      <c r="H1" s="557"/>
    </row>
    <row r="2" spans="2:12" ht="82.25" customHeight="1">
      <c r="B2" s="558" t="s">
        <v>1</v>
      </c>
      <c r="C2" s="559"/>
      <c r="D2" s="559"/>
      <c r="E2" s="559"/>
      <c r="F2" s="559"/>
      <c r="G2" s="559"/>
      <c r="H2" s="559"/>
    </row>
    <row r="3" spans="2:12">
      <c r="B3" s="506" t="s">
        <v>2</v>
      </c>
      <c r="C3" s="541"/>
      <c r="D3" s="541"/>
      <c r="E3" s="541"/>
      <c r="F3" s="541"/>
      <c r="G3" s="541"/>
      <c r="H3" s="541"/>
    </row>
    <row r="4" spans="2:12">
      <c r="C4" t="s">
        <v>3</v>
      </c>
      <c r="D4" s="64" t="s">
        <v>4</v>
      </c>
      <c r="E4" s="65" t="s">
        <v>5</v>
      </c>
      <c r="F4" s="114" t="s">
        <v>6</v>
      </c>
      <c r="G4" s="3" t="s">
        <v>7</v>
      </c>
    </row>
    <row r="5" spans="2:12">
      <c r="C5" s="2"/>
      <c r="D5" s="2"/>
      <c r="E5" s="2"/>
    </row>
    <row r="6" spans="2:12" s="1" customFormat="1">
      <c r="B6" s="1" t="s">
        <v>8</v>
      </c>
      <c r="C6" s="1" t="s">
        <v>9</v>
      </c>
      <c r="D6" s="1" t="s">
        <v>10</v>
      </c>
      <c r="E6" s="1" t="s">
        <v>11</v>
      </c>
      <c r="F6" s="1" t="s">
        <v>12</v>
      </c>
      <c r="G6" s="1" t="s">
        <v>13</v>
      </c>
      <c r="H6" s="1" t="s">
        <v>14</v>
      </c>
      <c r="I6" s="1" t="s">
        <v>15</v>
      </c>
      <c r="J6" s="1" t="s">
        <v>16</v>
      </c>
      <c r="K6" s="3">
        <v>2023</v>
      </c>
      <c r="L6" s="3" t="s">
        <v>17</v>
      </c>
    </row>
    <row r="7" spans="2:12" ht="16.25" customHeight="1">
      <c r="B7" s="547" t="s">
        <v>18</v>
      </c>
      <c r="C7" s="548"/>
      <c r="D7" s="548"/>
      <c r="E7" s="548"/>
      <c r="F7" s="548"/>
      <c r="G7" s="548"/>
      <c r="H7" s="6"/>
    </row>
    <row r="8" spans="2:12">
      <c r="B8" s="47" t="s">
        <v>19</v>
      </c>
      <c r="C8" s="21"/>
      <c r="D8" s="21"/>
      <c r="E8" s="21"/>
      <c r="F8" s="21"/>
      <c r="G8" s="4"/>
      <c r="H8" s="74"/>
    </row>
    <row r="9" spans="2:12">
      <c r="B9" s="62" t="s">
        <v>20</v>
      </c>
      <c r="C9" s="63"/>
      <c r="D9" s="63"/>
      <c r="E9" s="574" t="s">
        <v>3</v>
      </c>
      <c r="F9" s="459"/>
      <c r="G9" s="460"/>
      <c r="H9" s="74"/>
    </row>
    <row r="10" spans="2:12" ht="29" customHeight="1">
      <c r="B10" s="444" t="s">
        <v>21</v>
      </c>
      <c r="C10" s="31" t="s">
        <v>22</v>
      </c>
      <c r="D10" s="502" t="s">
        <v>23</v>
      </c>
      <c r="E10" s="493" t="s">
        <v>24</v>
      </c>
      <c r="F10" s="519" t="s">
        <v>25</v>
      </c>
      <c r="G10" s="481" t="s">
        <v>26</v>
      </c>
      <c r="H10" s="74"/>
    </row>
    <row r="11" spans="2:12" ht="29" customHeight="1">
      <c r="B11" s="444"/>
      <c r="C11" s="31" t="s">
        <v>27</v>
      </c>
      <c r="D11" s="488"/>
      <c r="E11" s="465"/>
      <c r="F11" s="550"/>
      <c r="G11" s="516"/>
      <c r="H11" s="74"/>
    </row>
    <row r="12" spans="2:12" ht="29">
      <c r="B12" s="444"/>
      <c r="C12" s="31" t="s">
        <v>28</v>
      </c>
      <c r="D12" s="55" t="s">
        <v>29</v>
      </c>
      <c r="E12" s="53" t="s">
        <v>30</v>
      </c>
      <c r="F12" s="78" t="s">
        <v>31</v>
      </c>
      <c r="G12" s="516"/>
      <c r="H12" s="74"/>
    </row>
    <row r="13" spans="2:12" ht="29">
      <c r="B13" s="444"/>
      <c r="C13" s="31" t="s">
        <v>32</v>
      </c>
      <c r="D13" s="55" t="s">
        <v>33</v>
      </c>
      <c r="E13" s="53" t="s">
        <v>34</v>
      </c>
      <c r="F13" s="78" t="s">
        <v>35</v>
      </c>
      <c r="G13" s="516"/>
      <c r="H13" s="74"/>
    </row>
    <row r="14" spans="2:12" ht="58">
      <c r="B14" s="444"/>
      <c r="C14" s="31" t="s">
        <v>36</v>
      </c>
      <c r="D14" s="55" t="s">
        <v>37</v>
      </c>
      <c r="E14" s="53" t="s">
        <v>38</v>
      </c>
      <c r="F14" s="78" t="s">
        <v>39</v>
      </c>
      <c r="G14" s="516"/>
      <c r="H14" s="74"/>
    </row>
    <row r="15" spans="2:12" ht="15" customHeight="1">
      <c r="B15" s="444"/>
      <c r="C15" s="31" t="s">
        <v>40</v>
      </c>
      <c r="D15" s="502" t="s">
        <v>41</v>
      </c>
      <c r="E15" s="542" t="s">
        <v>42</v>
      </c>
      <c r="F15" s="494" t="s">
        <v>42</v>
      </c>
      <c r="G15" s="516"/>
      <c r="H15" s="74"/>
    </row>
    <row r="16" spans="2:12">
      <c r="B16" s="444"/>
      <c r="C16" s="31" t="s">
        <v>43</v>
      </c>
      <c r="D16" s="488"/>
      <c r="E16" s="543"/>
      <c r="F16" s="490"/>
      <c r="G16" s="516"/>
      <c r="H16" s="74"/>
    </row>
    <row r="17" spans="2:8" ht="43.5">
      <c r="B17" s="444"/>
      <c r="C17" s="31" t="s">
        <v>44</v>
      </c>
      <c r="D17" s="55" t="s">
        <v>45</v>
      </c>
      <c r="E17" s="92" t="s">
        <v>46</v>
      </c>
      <c r="F17" s="78" t="s">
        <v>47</v>
      </c>
      <c r="G17" s="516"/>
      <c r="H17" s="74"/>
    </row>
    <row r="18" spans="2:8" ht="29">
      <c r="B18" s="444" t="s">
        <v>48</v>
      </c>
      <c r="C18" s="31" t="s">
        <v>49</v>
      </c>
      <c r="D18" s="55" t="s">
        <v>50</v>
      </c>
      <c r="E18" s="53" t="s">
        <v>51</v>
      </c>
      <c r="F18" s="78" t="s">
        <v>51</v>
      </c>
      <c r="G18" s="516"/>
      <c r="H18" s="74"/>
    </row>
    <row r="19" spans="2:8" ht="29">
      <c r="B19" s="444"/>
      <c r="C19" s="31" t="s">
        <v>52</v>
      </c>
      <c r="D19" s="69" t="s">
        <v>53</v>
      </c>
      <c r="E19" s="53" t="s">
        <v>54</v>
      </c>
      <c r="F19" s="78" t="s">
        <v>54</v>
      </c>
      <c r="G19" s="516"/>
      <c r="H19" s="74"/>
    </row>
    <row r="20" spans="2:8" ht="23" customHeight="1">
      <c r="B20" s="444"/>
      <c r="C20" s="31" t="s">
        <v>55</v>
      </c>
      <c r="D20" s="502" t="s">
        <v>56</v>
      </c>
      <c r="E20" s="542" t="s">
        <v>57</v>
      </c>
      <c r="F20" s="494" t="s">
        <v>58</v>
      </c>
      <c r="G20" s="516"/>
      <c r="H20" s="74"/>
    </row>
    <row r="21" spans="2:8" ht="23" customHeight="1">
      <c r="B21" s="444"/>
      <c r="C21" s="31" t="s">
        <v>59</v>
      </c>
      <c r="D21" s="486"/>
      <c r="E21" s="543"/>
      <c r="F21" s="490"/>
      <c r="G21" s="516"/>
      <c r="H21" s="74"/>
    </row>
    <row r="22" spans="2:8" ht="29">
      <c r="B22" s="444"/>
      <c r="C22" s="31" t="s">
        <v>60</v>
      </c>
      <c r="D22" s="55" t="s">
        <v>61</v>
      </c>
      <c r="E22" s="53" t="s">
        <v>62</v>
      </c>
      <c r="F22" s="78" t="s">
        <v>62</v>
      </c>
      <c r="G22" s="516"/>
      <c r="H22" s="74"/>
    </row>
    <row r="23" spans="2:8" ht="29">
      <c r="B23" s="444" t="s">
        <v>63</v>
      </c>
      <c r="C23" s="31" t="s">
        <v>64</v>
      </c>
      <c r="D23" s="69" t="s">
        <v>65</v>
      </c>
      <c r="E23" s="53" t="s">
        <v>66</v>
      </c>
      <c r="F23" s="78" t="s">
        <v>66</v>
      </c>
      <c r="G23" s="516"/>
      <c r="H23" s="74"/>
    </row>
    <row r="24" spans="2:8" ht="29">
      <c r="B24" s="445"/>
      <c r="C24" s="31" t="s">
        <v>67</v>
      </c>
      <c r="D24" s="69" t="s">
        <v>68</v>
      </c>
      <c r="E24" s="96" t="s">
        <v>69</v>
      </c>
      <c r="F24" s="78" t="s">
        <v>70</v>
      </c>
      <c r="G24" s="516"/>
      <c r="H24" s="74"/>
    </row>
    <row r="25" spans="2:8" ht="29">
      <c r="B25" s="445"/>
      <c r="C25" s="71" t="s">
        <v>71</v>
      </c>
      <c r="D25" s="55" t="s">
        <v>72</v>
      </c>
      <c r="E25" s="115" t="s">
        <v>73</v>
      </c>
      <c r="F25" s="78" t="s">
        <v>74</v>
      </c>
      <c r="G25" s="516"/>
      <c r="H25" s="74"/>
    </row>
    <row r="26" spans="2:8">
      <c r="B26" s="445"/>
      <c r="C26" s="44" t="s">
        <v>75</v>
      </c>
      <c r="D26" s="69" t="s">
        <v>76</v>
      </c>
      <c r="E26" s="59" t="s">
        <v>77</v>
      </c>
      <c r="F26" s="78" t="s">
        <v>78</v>
      </c>
      <c r="G26" s="516"/>
      <c r="H26" s="74"/>
    </row>
    <row r="27" spans="2:8" ht="43.5">
      <c r="B27" s="445"/>
      <c r="C27" s="46" t="s">
        <v>79</v>
      </c>
      <c r="D27" s="55" t="s">
        <v>80</v>
      </c>
      <c r="E27" s="53" t="s">
        <v>81</v>
      </c>
      <c r="F27" s="78" t="s">
        <v>81</v>
      </c>
      <c r="G27" s="516"/>
      <c r="H27" s="74"/>
    </row>
    <row r="28" spans="2:8" ht="29">
      <c r="B28" s="445"/>
      <c r="C28" s="68" t="s">
        <v>82</v>
      </c>
      <c r="D28" s="70" t="s">
        <v>83</v>
      </c>
      <c r="E28" s="53" t="s">
        <v>83</v>
      </c>
      <c r="F28" s="78" t="s">
        <v>83</v>
      </c>
      <c r="G28" s="517"/>
      <c r="H28" s="74"/>
    </row>
    <row r="29" spans="2:8" hidden="1">
      <c r="B29" s="12"/>
      <c r="C29" s="12"/>
      <c r="D29" s="9"/>
      <c r="E29" s="18"/>
      <c r="F29" s="10"/>
      <c r="G29" s="12"/>
      <c r="H29" s="74"/>
    </row>
    <row r="30" spans="2:8" hidden="1">
      <c r="B30" s="12"/>
      <c r="C30" s="12"/>
      <c r="D30" s="9"/>
      <c r="E30" s="18"/>
      <c r="F30" s="12"/>
      <c r="G30" s="12"/>
      <c r="H30" s="74"/>
    </row>
    <row r="31" spans="2:8" hidden="1">
      <c r="B31" s="12"/>
      <c r="C31" s="12"/>
      <c r="D31" s="447"/>
      <c r="E31" s="18"/>
      <c r="F31" s="12"/>
      <c r="G31" s="12"/>
      <c r="H31" s="74"/>
    </row>
    <row r="32" spans="2:8" hidden="1">
      <c r="B32" s="12"/>
      <c r="C32" s="12"/>
      <c r="D32" s="447"/>
      <c r="E32" s="10"/>
      <c r="F32" s="13"/>
      <c r="G32" s="12"/>
      <c r="H32" s="74"/>
    </row>
    <row r="33" spans="2:8">
      <c r="B33" s="107" t="s">
        <v>84</v>
      </c>
      <c r="C33" s="27"/>
      <c r="D33" s="21"/>
      <c r="E33" s="21"/>
      <c r="F33" s="549"/>
      <c r="G33" s="472"/>
      <c r="H33" s="6"/>
    </row>
    <row r="34" spans="2:8">
      <c r="B34" s="476" t="s">
        <v>85</v>
      </c>
      <c r="C34" s="476"/>
      <c r="D34" s="32"/>
      <c r="E34" s="32"/>
      <c r="F34" s="552"/>
      <c r="G34" s="513"/>
      <c r="H34" s="6"/>
    </row>
    <row r="35" spans="2:8" ht="87">
      <c r="B35" s="446" t="s">
        <v>86</v>
      </c>
      <c r="C35" s="40" t="s">
        <v>87</v>
      </c>
      <c r="D35" s="49" t="s">
        <v>88</v>
      </c>
      <c r="E35" s="37" t="s">
        <v>89</v>
      </c>
      <c r="F35" s="78" t="s">
        <v>90</v>
      </c>
      <c r="G35" s="481" t="s">
        <v>91</v>
      </c>
      <c r="H35" s="9"/>
    </row>
    <row r="36" spans="2:8" ht="29">
      <c r="B36" s="446"/>
      <c r="C36" s="40" t="s">
        <v>92</v>
      </c>
      <c r="D36" s="562" t="s">
        <v>93</v>
      </c>
      <c r="E36" s="563"/>
      <c r="F36" s="527"/>
      <c r="G36" s="495"/>
      <c r="H36" s="9"/>
    </row>
    <row r="37" spans="2:8" ht="29">
      <c r="B37" s="446"/>
      <c r="C37" s="31" t="s">
        <v>28</v>
      </c>
      <c r="D37" s="49" t="s">
        <v>94</v>
      </c>
      <c r="E37" s="38"/>
      <c r="F37" s="81"/>
      <c r="G37" s="495"/>
      <c r="H37" s="9"/>
    </row>
    <row r="38" spans="2:8" ht="27" customHeight="1">
      <c r="B38" s="444" t="s">
        <v>95</v>
      </c>
      <c r="C38" s="31" t="s">
        <v>96</v>
      </c>
      <c r="D38" s="457" t="s">
        <v>97</v>
      </c>
      <c r="E38" s="37" t="s">
        <v>98</v>
      </c>
      <c r="F38" s="494" t="s">
        <v>99</v>
      </c>
      <c r="G38" s="495"/>
      <c r="H38" s="9"/>
    </row>
    <row r="39" spans="2:8" ht="28.25" customHeight="1">
      <c r="B39" s="445"/>
      <c r="C39" s="31" t="s">
        <v>100</v>
      </c>
      <c r="D39" s="498"/>
      <c r="E39" s="37" t="s">
        <v>101</v>
      </c>
      <c r="F39" s="551"/>
      <c r="G39" s="495"/>
      <c r="H39" s="9"/>
    </row>
    <row r="40" spans="2:8" ht="28.25" customHeight="1">
      <c r="B40" s="445"/>
      <c r="C40" s="31" t="s">
        <v>102</v>
      </c>
      <c r="D40" s="498"/>
      <c r="E40" s="37" t="s">
        <v>103</v>
      </c>
      <c r="F40" s="490"/>
      <c r="G40" s="495"/>
      <c r="H40" s="9"/>
    </row>
    <row r="41" spans="2:8">
      <c r="B41" s="444" t="s">
        <v>104</v>
      </c>
      <c r="C41" s="31" t="s">
        <v>105</v>
      </c>
      <c r="D41" s="457" t="s">
        <v>106</v>
      </c>
      <c r="E41" s="468" t="s">
        <v>107</v>
      </c>
      <c r="F41" s="448" t="s">
        <v>108</v>
      </c>
      <c r="G41" s="495"/>
      <c r="H41" s="39"/>
    </row>
    <row r="42" spans="2:8">
      <c r="B42" s="445"/>
      <c r="C42" s="31" t="s">
        <v>109</v>
      </c>
      <c r="D42" s="498"/>
      <c r="E42" s="465"/>
      <c r="F42" s="551"/>
      <c r="G42" s="495"/>
      <c r="H42" s="39"/>
    </row>
    <row r="43" spans="2:8" ht="43.5">
      <c r="B43" s="30" t="s">
        <v>110</v>
      </c>
      <c r="C43" s="31" t="s">
        <v>111</v>
      </c>
      <c r="D43" s="49" t="s">
        <v>112</v>
      </c>
      <c r="E43" s="37" t="s">
        <v>113</v>
      </c>
      <c r="F43" s="490"/>
      <c r="G43" s="495"/>
      <c r="H43" s="39"/>
    </row>
    <row r="44" spans="2:8">
      <c r="B44" s="444" t="s">
        <v>114</v>
      </c>
      <c r="C44" s="31" t="s">
        <v>115</v>
      </c>
      <c r="D44" s="457" t="s">
        <v>116</v>
      </c>
      <c r="E44" s="468" t="s">
        <v>117</v>
      </c>
      <c r="F44" s="448" t="s">
        <v>118</v>
      </c>
      <c r="G44" s="495"/>
      <c r="H44" s="39"/>
    </row>
    <row r="45" spans="2:8">
      <c r="B45" s="445"/>
      <c r="C45" s="31" t="s">
        <v>119</v>
      </c>
      <c r="D45" s="498"/>
      <c r="E45" s="456"/>
      <c r="F45" s="551"/>
      <c r="G45" s="495"/>
      <c r="H45" s="39"/>
    </row>
    <row r="46" spans="2:8" ht="29">
      <c r="B46" s="445"/>
      <c r="C46" s="31" t="s">
        <v>120</v>
      </c>
      <c r="D46" s="49" t="s">
        <v>121</v>
      </c>
      <c r="E46" s="37" t="s">
        <v>122</v>
      </c>
      <c r="F46" s="456"/>
      <c r="G46" s="509"/>
      <c r="H46" s="39"/>
    </row>
    <row r="47" spans="2:8">
      <c r="B47" s="553" t="s">
        <v>123</v>
      </c>
      <c r="C47" s="472"/>
      <c r="D47" s="472"/>
      <c r="E47" s="472"/>
      <c r="F47" s="472"/>
      <c r="G47" s="472"/>
      <c r="H47" s="6"/>
    </row>
    <row r="48" spans="2:8">
      <c r="B48" s="512" t="s">
        <v>124</v>
      </c>
      <c r="C48" s="532"/>
      <c r="D48" s="513"/>
      <c r="E48" s="513"/>
      <c r="F48" s="513"/>
      <c r="G48" s="513"/>
    </row>
    <row r="49" spans="1:8" ht="29">
      <c r="A49" s="101"/>
      <c r="B49" s="445" t="s">
        <v>125</v>
      </c>
      <c r="C49" s="40" t="s">
        <v>126</v>
      </c>
      <c r="D49" s="49" t="s">
        <v>127</v>
      </c>
      <c r="E49" s="37" t="s">
        <v>128</v>
      </c>
      <c r="F49" s="494" t="s">
        <v>129</v>
      </c>
      <c r="G49" s="481" t="s">
        <v>130</v>
      </c>
      <c r="H49" s="7"/>
    </row>
    <row r="50" spans="1:8">
      <c r="A50" s="101"/>
      <c r="B50" s="447"/>
      <c r="C50" s="31" t="s">
        <v>131</v>
      </c>
      <c r="D50" s="51" t="s">
        <v>132</v>
      </c>
      <c r="E50" s="468" t="s">
        <v>133</v>
      </c>
      <c r="F50" s="551"/>
      <c r="G50" s="482"/>
      <c r="H50" s="7"/>
    </row>
    <row r="51" spans="1:8" ht="43.5">
      <c r="A51" s="101"/>
      <c r="B51" s="447"/>
      <c r="C51" s="31" t="s">
        <v>134</v>
      </c>
      <c r="D51" s="49" t="s">
        <v>135</v>
      </c>
      <c r="E51" s="456"/>
      <c r="F51" s="551"/>
      <c r="G51" s="482"/>
      <c r="H51" s="7"/>
    </row>
    <row r="52" spans="1:8" ht="43.5">
      <c r="A52" s="101"/>
      <c r="B52" s="447"/>
      <c r="C52" s="31" t="s">
        <v>136</v>
      </c>
      <c r="D52" s="49" t="s">
        <v>137</v>
      </c>
      <c r="E52" s="37" t="s">
        <v>138</v>
      </c>
      <c r="F52" s="551"/>
      <c r="G52" s="482"/>
      <c r="H52" s="7"/>
    </row>
    <row r="53" spans="1:8" ht="29">
      <c r="A53" s="101"/>
      <c r="B53" s="447"/>
      <c r="C53" s="31" t="s">
        <v>139</v>
      </c>
      <c r="D53" s="51" t="s">
        <v>132</v>
      </c>
      <c r="E53" s="37" t="s">
        <v>140</v>
      </c>
      <c r="F53" s="551"/>
      <c r="G53" s="482"/>
      <c r="H53" s="7"/>
    </row>
    <row r="54" spans="1:8" ht="29">
      <c r="A54" s="101"/>
      <c r="B54" s="447"/>
      <c r="C54" s="31" t="s">
        <v>141</v>
      </c>
      <c r="D54" s="49" t="s">
        <v>142</v>
      </c>
      <c r="E54" s="37" t="s">
        <v>138</v>
      </c>
      <c r="F54" s="467"/>
      <c r="G54" s="482"/>
      <c r="H54" s="7"/>
    </row>
    <row r="55" spans="1:8">
      <c r="A55" s="102"/>
      <c r="B55" s="445" t="s">
        <v>143</v>
      </c>
      <c r="C55" s="31" t="s">
        <v>144</v>
      </c>
      <c r="D55" s="51" t="s">
        <v>145</v>
      </c>
      <c r="E55" s="38" t="s">
        <v>146</v>
      </c>
      <c r="F55" s="467"/>
      <c r="G55" s="482"/>
      <c r="H55" s="7"/>
    </row>
    <row r="56" spans="1:8" ht="29">
      <c r="A56" s="102"/>
      <c r="B56" s="445"/>
      <c r="C56" s="31" t="s">
        <v>147</v>
      </c>
      <c r="D56" s="51" t="s">
        <v>148</v>
      </c>
      <c r="E56" s="37" t="s">
        <v>149</v>
      </c>
      <c r="F56" s="467"/>
      <c r="G56" s="482"/>
      <c r="H56" s="7"/>
    </row>
    <row r="57" spans="1:8" ht="43.5">
      <c r="A57" s="102"/>
      <c r="B57" s="445"/>
      <c r="C57" s="31" t="s">
        <v>150</v>
      </c>
      <c r="D57" s="49" t="s">
        <v>151</v>
      </c>
      <c r="E57" s="37" t="s">
        <v>152</v>
      </c>
      <c r="F57" s="456"/>
      <c r="G57" s="483"/>
      <c r="H57" s="7"/>
    </row>
    <row r="58" spans="1:8">
      <c r="A58" s="103"/>
      <c r="B58" s="529" t="s">
        <v>153</v>
      </c>
      <c r="C58" s="31" t="s">
        <v>136</v>
      </c>
      <c r="D58" s="51" t="s">
        <v>154</v>
      </c>
      <c r="E58" s="468" t="s">
        <v>155</v>
      </c>
      <c r="F58" s="494" t="s">
        <v>156</v>
      </c>
      <c r="G58" s="481" t="s">
        <v>156</v>
      </c>
      <c r="H58" s="7"/>
    </row>
    <row r="59" spans="1:8" ht="15" customHeight="1">
      <c r="A59" s="103"/>
      <c r="B59" s="529"/>
      <c r="C59" s="31" t="s">
        <v>157</v>
      </c>
      <c r="D59" s="453" t="s">
        <v>158</v>
      </c>
      <c r="E59" s="484"/>
      <c r="F59" s="554"/>
      <c r="G59" s="564"/>
      <c r="H59" s="7"/>
    </row>
    <row r="60" spans="1:8">
      <c r="A60" s="103"/>
      <c r="B60" s="447"/>
      <c r="C60" s="31" t="s">
        <v>159</v>
      </c>
      <c r="D60" s="500"/>
      <c r="E60" s="485"/>
      <c r="F60" s="535"/>
      <c r="G60" s="565"/>
    </row>
    <row r="61" spans="1:8">
      <c r="A61" s="100"/>
      <c r="B61" s="553" t="s">
        <v>160</v>
      </c>
      <c r="C61" s="566"/>
      <c r="D61" s="566"/>
      <c r="E61" s="566"/>
      <c r="F61" s="566"/>
      <c r="G61" s="472"/>
    </row>
    <row r="62" spans="1:8">
      <c r="A62" s="100"/>
      <c r="B62" s="95" t="s">
        <v>161</v>
      </c>
      <c r="C62" s="29"/>
      <c r="D62" s="29"/>
      <c r="E62" s="29"/>
      <c r="F62" s="29"/>
      <c r="G62" s="32"/>
      <c r="H62" s="75"/>
    </row>
    <row r="63" spans="1:8" ht="15" customHeight="1">
      <c r="A63" s="98"/>
      <c r="B63" s="501" t="s">
        <v>162</v>
      </c>
      <c r="C63" s="16" t="s">
        <v>163</v>
      </c>
      <c r="D63" s="502" t="s">
        <v>164</v>
      </c>
      <c r="E63" s="493" t="s">
        <v>165</v>
      </c>
      <c r="F63" s="555" t="s">
        <v>166</v>
      </c>
      <c r="G63" s="481" t="s">
        <v>167</v>
      </c>
      <c r="H63" s="6"/>
    </row>
    <row r="64" spans="1:8" ht="25.5">
      <c r="A64" s="98"/>
      <c r="B64" s="501"/>
      <c r="C64" s="19" t="s">
        <v>168</v>
      </c>
      <c r="D64" s="465"/>
      <c r="E64" s="465"/>
      <c r="F64" s="556"/>
      <c r="G64" s="495"/>
      <c r="H64" s="6"/>
    </row>
    <row r="65" spans="1:8" ht="43.5">
      <c r="A65" s="99"/>
      <c r="B65" s="501"/>
      <c r="C65" s="11" t="s">
        <v>169</v>
      </c>
      <c r="D65" s="55" t="s">
        <v>170</v>
      </c>
      <c r="E65" s="92" t="s">
        <v>171</v>
      </c>
      <c r="F65" s="78" t="s">
        <v>172</v>
      </c>
      <c r="G65" s="495"/>
      <c r="H65" s="6"/>
    </row>
    <row r="66" spans="1:8" ht="22.25" customHeight="1">
      <c r="A66" s="99"/>
      <c r="B66" s="501" t="s">
        <v>173</v>
      </c>
      <c r="C66" s="97" t="s">
        <v>174</v>
      </c>
      <c r="D66" s="502" t="s">
        <v>175</v>
      </c>
      <c r="E66" s="493" t="s">
        <v>176</v>
      </c>
      <c r="F66" s="494" t="s">
        <v>177</v>
      </c>
      <c r="G66" s="496"/>
      <c r="H66" s="6"/>
    </row>
    <row r="67" spans="1:8" ht="22.25" customHeight="1">
      <c r="A67" s="99"/>
      <c r="B67" s="501"/>
      <c r="C67" s="17" t="s">
        <v>178</v>
      </c>
      <c r="D67" s="456"/>
      <c r="E67" s="452"/>
      <c r="F67" s="465"/>
      <c r="G67" s="496"/>
      <c r="H67" s="6"/>
    </row>
    <row r="68" spans="1:8" ht="45" customHeight="1">
      <c r="A68" s="99"/>
      <c r="B68" s="501"/>
      <c r="C68" s="17" t="s">
        <v>179</v>
      </c>
      <c r="D68" s="55" t="s">
        <v>180</v>
      </c>
      <c r="E68" s="92" t="s">
        <v>181</v>
      </c>
      <c r="F68" s="78" t="s">
        <v>182</v>
      </c>
      <c r="G68" s="496"/>
      <c r="H68" s="6"/>
    </row>
    <row r="69" spans="1:8" ht="32" customHeight="1">
      <c r="A69" s="98"/>
      <c r="B69" s="10" t="s">
        <v>183</v>
      </c>
      <c r="C69" s="17" t="s">
        <v>184</v>
      </c>
      <c r="D69" s="55" t="s">
        <v>185</v>
      </c>
      <c r="E69" s="92" t="s">
        <v>186</v>
      </c>
      <c r="F69" s="78" t="s">
        <v>187</v>
      </c>
      <c r="G69" s="496"/>
      <c r="H69" s="6"/>
    </row>
    <row r="70" spans="1:8" ht="60" customHeight="1">
      <c r="A70" s="99"/>
      <c r="B70" s="73" t="s">
        <v>188</v>
      </c>
      <c r="C70" s="20" t="s">
        <v>189</v>
      </c>
      <c r="D70" s="55" t="s">
        <v>190</v>
      </c>
      <c r="E70" s="92" t="s">
        <v>191</v>
      </c>
      <c r="F70" s="78" t="s">
        <v>192</v>
      </c>
      <c r="G70" s="497"/>
      <c r="H70" s="6"/>
    </row>
    <row r="71" spans="1:8" ht="16.25" customHeight="1">
      <c r="B71" s="108" t="s">
        <v>193</v>
      </c>
      <c r="C71" s="109"/>
      <c r="D71" s="110"/>
      <c r="E71" s="110"/>
      <c r="F71" s="571"/>
      <c r="G71" s="460"/>
      <c r="H71" s="6"/>
    </row>
    <row r="72" spans="1:8" ht="16.25" customHeight="1">
      <c r="B72" s="106" t="s">
        <v>194</v>
      </c>
      <c r="C72" s="104"/>
      <c r="D72" s="105"/>
      <c r="E72" s="105"/>
      <c r="F72" s="570"/>
      <c r="G72" s="460"/>
      <c r="H72" s="6"/>
    </row>
    <row r="73" spans="1:8" ht="30" customHeight="1">
      <c r="B73" s="491" t="s">
        <v>195</v>
      </c>
      <c r="C73" s="36" t="s">
        <v>196</v>
      </c>
      <c r="D73" s="49" t="s">
        <v>197</v>
      </c>
      <c r="E73" s="37" t="s">
        <v>197</v>
      </c>
      <c r="F73" s="85" t="s">
        <v>198</v>
      </c>
      <c r="G73" s="481" t="s">
        <v>199</v>
      </c>
      <c r="H73" s="6"/>
    </row>
    <row r="74" spans="1:8" ht="32" customHeight="1">
      <c r="B74" s="467"/>
      <c r="C74" s="111" t="s">
        <v>200</v>
      </c>
      <c r="D74" s="49" t="s">
        <v>201</v>
      </c>
      <c r="E74" s="37" t="s">
        <v>201</v>
      </c>
      <c r="F74" s="85" t="s">
        <v>201</v>
      </c>
      <c r="G74" s="482"/>
      <c r="H74" s="6"/>
    </row>
    <row r="75" spans="1:8" ht="16.25" customHeight="1">
      <c r="B75" s="467"/>
      <c r="C75" s="36" t="s">
        <v>202</v>
      </c>
      <c r="D75" s="451" t="s">
        <v>203</v>
      </c>
      <c r="E75" s="468" t="s">
        <v>203</v>
      </c>
      <c r="F75" s="469" t="s">
        <v>203</v>
      </c>
      <c r="G75" s="567"/>
      <c r="H75" s="6"/>
    </row>
    <row r="76" spans="1:8" ht="16.25" customHeight="1">
      <c r="B76" s="456"/>
      <c r="C76" s="36" t="s">
        <v>204</v>
      </c>
      <c r="D76" s="486"/>
      <c r="E76" s="487"/>
      <c r="F76" s="470"/>
      <c r="G76" s="567"/>
      <c r="H76" s="6"/>
    </row>
    <row r="77" spans="1:8" ht="16.25" customHeight="1">
      <c r="B77" s="492" t="s">
        <v>205</v>
      </c>
      <c r="C77" s="111" t="s">
        <v>206</v>
      </c>
      <c r="D77" s="451" t="s">
        <v>207</v>
      </c>
      <c r="E77" s="468" t="s">
        <v>207</v>
      </c>
      <c r="F77" s="469" t="s">
        <v>207</v>
      </c>
      <c r="G77" s="567"/>
      <c r="H77" s="6"/>
    </row>
    <row r="78" spans="1:8" ht="16.25" customHeight="1">
      <c r="B78" s="467"/>
      <c r="C78" s="36" t="s">
        <v>208</v>
      </c>
      <c r="D78" s="488"/>
      <c r="E78" s="489"/>
      <c r="F78" s="490"/>
      <c r="G78" s="567"/>
      <c r="H78" s="6"/>
    </row>
    <row r="79" spans="1:8" ht="45" customHeight="1">
      <c r="B79" s="456"/>
      <c r="C79" s="36" t="s">
        <v>209</v>
      </c>
      <c r="D79" s="49" t="s">
        <v>210</v>
      </c>
      <c r="E79" s="37" t="s">
        <v>210</v>
      </c>
      <c r="F79" s="85" t="s">
        <v>210</v>
      </c>
      <c r="G79" s="568"/>
      <c r="H79" s="6"/>
    </row>
    <row r="80" spans="1:8">
      <c r="B80" s="107" t="s">
        <v>211</v>
      </c>
      <c r="C80" s="21"/>
      <c r="D80" s="549"/>
      <c r="E80" s="472"/>
      <c r="F80" s="472"/>
      <c r="G80" s="472"/>
      <c r="H80" s="6"/>
    </row>
    <row r="81" spans="1:8" ht="16.25" customHeight="1">
      <c r="B81" s="476" t="s">
        <v>212</v>
      </c>
      <c r="C81" s="476"/>
      <c r="D81" s="569"/>
      <c r="E81" s="569"/>
      <c r="F81" s="569"/>
      <c r="G81" s="541"/>
    </row>
    <row r="82" spans="1:8" ht="37.25" customHeight="1">
      <c r="A82" s="113"/>
      <c r="B82" s="444" t="s">
        <v>213</v>
      </c>
      <c r="C82" s="31" t="s">
        <v>214</v>
      </c>
      <c r="D82" s="451" t="s">
        <v>215</v>
      </c>
      <c r="E82" s="37" t="s">
        <v>216</v>
      </c>
      <c r="F82" s="85" t="s">
        <v>216</v>
      </c>
      <c r="G82" s="572" t="s">
        <v>217</v>
      </c>
    </row>
    <row r="83" spans="1:8" ht="37.25" customHeight="1">
      <c r="A83" s="113"/>
      <c r="B83" s="445"/>
      <c r="C83" s="31" t="s">
        <v>218</v>
      </c>
      <c r="D83" s="486"/>
      <c r="E83" s="37" t="s">
        <v>219</v>
      </c>
      <c r="F83" s="85" t="s">
        <v>219</v>
      </c>
      <c r="G83" s="573"/>
      <c r="H83" s="7"/>
    </row>
    <row r="84" spans="1:8" ht="16.25" customHeight="1">
      <c r="A84" s="113"/>
      <c r="B84" s="560" t="s">
        <v>220</v>
      </c>
      <c r="C84" s="472"/>
      <c r="D84" s="472"/>
      <c r="E84" s="472"/>
      <c r="F84" s="472"/>
      <c r="G84" s="472"/>
      <c r="H84" s="7"/>
    </row>
    <row r="85" spans="1:8" ht="16.25" customHeight="1">
      <c r="A85" s="113"/>
      <c r="B85" s="511" t="s">
        <v>221</v>
      </c>
      <c r="C85" s="561"/>
      <c r="D85" s="561"/>
      <c r="E85" s="561"/>
      <c r="F85" s="561"/>
      <c r="G85" s="513"/>
      <c r="H85" s="7"/>
    </row>
    <row r="86" spans="1:8" ht="34.25" customHeight="1">
      <c r="A86" s="113"/>
      <c r="B86" s="444" t="s">
        <v>222</v>
      </c>
      <c r="C86" s="40" t="s">
        <v>223</v>
      </c>
      <c r="D86" s="49" t="s">
        <v>224</v>
      </c>
      <c r="E86" s="37" t="s">
        <v>224</v>
      </c>
      <c r="F86" s="78" t="s">
        <v>224</v>
      </c>
      <c r="G86" s="481" t="s">
        <v>225</v>
      </c>
      <c r="H86" s="7"/>
    </row>
    <row r="87" spans="1:8" ht="37.25" customHeight="1">
      <c r="A87" s="113"/>
      <c r="B87" s="446"/>
      <c r="C87" s="40" t="s">
        <v>226</v>
      </c>
      <c r="D87" s="49" t="s">
        <v>227</v>
      </c>
      <c r="E87" s="37" t="s">
        <v>228</v>
      </c>
      <c r="F87" s="78" t="s">
        <v>228</v>
      </c>
      <c r="G87" s="495"/>
      <c r="H87" s="7"/>
    </row>
    <row r="88" spans="1:8" ht="16.25" customHeight="1">
      <c r="A88" s="113"/>
      <c r="B88" s="446"/>
      <c r="C88" s="40" t="s">
        <v>229</v>
      </c>
      <c r="D88" s="451" t="s">
        <v>230</v>
      </c>
      <c r="E88" s="468" t="s">
        <v>231</v>
      </c>
      <c r="F88" s="494" t="s">
        <v>231</v>
      </c>
      <c r="G88" s="495"/>
      <c r="H88" s="7"/>
    </row>
    <row r="89" spans="1:8" ht="16.25" customHeight="1">
      <c r="A89" s="113"/>
      <c r="B89" s="446"/>
      <c r="C89" s="40" t="s">
        <v>232</v>
      </c>
      <c r="D89" s="452"/>
      <c r="E89" s="452"/>
      <c r="F89" s="456"/>
      <c r="G89" s="495"/>
      <c r="H89" s="7"/>
    </row>
    <row r="90" spans="1:8" ht="37.25" customHeight="1">
      <c r="A90" s="113"/>
      <c r="B90" s="444" t="s">
        <v>233</v>
      </c>
      <c r="C90" s="40" t="s">
        <v>234</v>
      </c>
      <c r="D90" s="49" t="s">
        <v>235</v>
      </c>
      <c r="E90" s="37" t="s">
        <v>236</v>
      </c>
      <c r="F90" s="78" t="s">
        <v>237</v>
      </c>
      <c r="G90" s="495"/>
      <c r="H90" s="7"/>
    </row>
    <row r="91" spans="1:8" ht="44" customHeight="1">
      <c r="A91" s="113"/>
      <c r="B91" s="501"/>
      <c r="C91" s="40" t="s">
        <v>238</v>
      </c>
      <c r="D91" s="49" t="s">
        <v>239</v>
      </c>
      <c r="E91" s="37" t="s">
        <v>240</v>
      </c>
      <c r="F91" s="78" t="s">
        <v>240</v>
      </c>
      <c r="G91" s="495"/>
      <c r="H91" s="7"/>
    </row>
    <row r="92" spans="1:8" ht="37.25" customHeight="1">
      <c r="A92" s="113"/>
      <c r="B92" s="444" t="s">
        <v>241</v>
      </c>
      <c r="C92" s="40" t="s">
        <v>242</v>
      </c>
      <c r="D92" s="51" t="s">
        <v>243</v>
      </c>
      <c r="E92" s="37" t="s">
        <v>243</v>
      </c>
      <c r="F92" s="78" t="s">
        <v>243</v>
      </c>
      <c r="G92" s="495"/>
      <c r="H92" s="7"/>
    </row>
    <row r="93" spans="1:8" ht="37.25" customHeight="1">
      <c r="A93" s="113"/>
      <c r="B93" s="445"/>
      <c r="C93" s="40" t="s">
        <v>244</v>
      </c>
      <c r="D93" s="52" t="s">
        <v>245</v>
      </c>
      <c r="E93" s="37" t="s">
        <v>246</v>
      </c>
      <c r="F93" s="78" t="s">
        <v>246</v>
      </c>
      <c r="G93" s="495"/>
      <c r="H93" s="7"/>
    </row>
    <row r="94" spans="1:8" ht="31.25" customHeight="1">
      <c r="A94" s="113"/>
      <c r="B94" s="445"/>
      <c r="C94" s="40" t="s">
        <v>82</v>
      </c>
      <c r="D94" s="49" t="s">
        <v>247</v>
      </c>
      <c r="E94" s="37" t="s">
        <v>248</v>
      </c>
      <c r="F94" s="78" t="s">
        <v>249</v>
      </c>
      <c r="G94" s="495"/>
      <c r="H94" s="7"/>
    </row>
    <row r="95" spans="1:8" ht="44" customHeight="1">
      <c r="A95" s="113"/>
      <c r="B95" s="445"/>
      <c r="C95" s="40" t="s">
        <v>250</v>
      </c>
      <c r="D95" s="49" t="s">
        <v>251</v>
      </c>
      <c r="E95" s="37" t="s">
        <v>252</v>
      </c>
      <c r="F95" s="78" t="s">
        <v>253</v>
      </c>
      <c r="G95" s="495"/>
      <c r="H95" s="7"/>
    </row>
    <row r="96" spans="1:8" ht="31.25" customHeight="1">
      <c r="A96" s="113"/>
      <c r="B96" s="445"/>
      <c r="C96" s="40" t="s">
        <v>254</v>
      </c>
      <c r="D96" s="52" t="s">
        <v>255</v>
      </c>
      <c r="E96" s="60" t="s">
        <v>255</v>
      </c>
      <c r="F96" s="78" t="s">
        <v>255</v>
      </c>
      <c r="G96" s="509"/>
      <c r="H96" s="7"/>
    </row>
    <row r="97" spans="2:8" ht="16.25" customHeight="1">
      <c r="B97" s="478" t="s">
        <v>256</v>
      </c>
      <c r="C97" s="479"/>
      <c r="D97" s="479"/>
      <c r="E97" s="479"/>
      <c r="F97" s="479"/>
      <c r="G97" s="480"/>
      <c r="H97" s="6"/>
    </row>
    <row r="98" spans="2:8">
      <c r="B98" s="107" t="s">
        <v>257</v>
      </c>
      <c r="C98" s="27"/>
      <c r="D98" s="27"/>
      <c r="E98" s="27"/>
      <c r="F98" s="477"/>
      <c r="G98" s="477"/>
      <c r="H98" s="41"/>
    </row>
    <row r="99" spans="2:8">
      <c r="B99" s="512" t="s">
        <v>258</v>
      </c>
      <c r="C99" s="512"/>
      <c r="D99" s="512"/>
      <c r="E99" s="512"/>
      <c r="F99" s="512"/>
      <c r="G99" s="512"/>
      <c r="H99" s="41"/>
    </row>
    <row r="100" spans="2:8" ht="29">
      <c r="B100" s="444" t="s">
        <v>259</v>
      </c>
      <c r="C100" s="31" t="s">
        <v>260</v>
      </c>
      <c r="D100" s="49" t="s">
        <v>261</v>
      </c>
      <c r="E100" s="37" t="s">
        <v>262</v>
      </c>
      <c r="F100" s="85" t="s">
        <v>263</v>
      </c>
      <c r="G100" s="536" t="s">
        <v>264</v>
      </c>
      <c r="H100" s="41"/>
    </row>
    <row r="101" spans="2:8" ht="29">
      <c r="B101" s="445"/>
      <c r="C101" s="31" t="s">
        <v>265</v>
      </c>
      <c r="D101" s="451" t="s">
        <v>266</v>
      </c>
      <c r="E101" s="37" t="s">
        <v>267</v>
      </c>
      <c r="F101" s="85" t="s">
        <v>268</v>
      </c>
      <c r="G101" s="516"/>
      <c r="H101" s="41"/>
    </row>
    <row r="102" spans="2:8" ht="43.5">
      <c r="B102" s="445"/>
      <c r="C102" s="31" t="s">
        <v>269</v>
      </c>
      <c r="D102" s="465"/>
      <c r="E102" s="37" t="s">
        <v>270</v>
      </c>
      <c r="F102" s="85" t="s">
        <v>271</v>
      </c>
      <c r="G102" s="517"/>
      <c r="H102" s="41"/>
    </row>
    <row r="103" spans="2:8" ht="29">
      <c r="B103" s="444" t="s">
        <v>272</v>
      </c>
      <c r="C103" s="31" t="s">
        <v>273</v>
      </c>
      <c r="D103" s="451" t="s">
        <v>274</v>
      </c>
      <c r="E103" s="37" t="s">
        <v>275</v>
      </c>
      <c r="F103" s="85" t="s">
        <v>276</v>
      </c>
      <c r="G103" s="544" t="s">
        <v>277</v>
      </c>
      <c r="H103" s="41"/>
    </row>
    <row r="104" spans="2:8">
      <c r="B104" s="445"/>
      <c r="C104" s="31" t="s">
        <v>278</v>
      </c>
      <c r="D104" s="467"/>
      <c r="E104" s="461" t="s">
        <v>279</v>
      </c>
      <c r="F104" s="469" t="s">
        <v>280</v>
      </c>
      <c r="G104" s="545"/>
      <c r="H104" s="41"/>
    </row>
    <row r="105" spans="2:8">
      <c r="B105" s="445"/>
      <c r="C105" s="31" t="s">
        <v>281</v>
      </c>
      <c r="D105" s="456"/>
      <c r="E105" s="462"/>
      <c r="F105" s="490"/>
      <c r="G105" s="545"/>
      <c r="H105" s="41"/>
    </row>
    <row r="106" spans="2:8" ht="29">
      <c r="B106" s="445"/>
      <c r="C106" s="40" t="s">
        <v>282</v>
      </c>
      <c r="D106" s="457" t="s">
        <v>283</v>
      </c>
      <c r="E106" s="461" t="s">
        <v>284</v>
      </c>
      <c r="F106" s="463" t="s">
        <v>285</v>
      </c>
      <c r="G106" s="545"/>
      <c r="H106" s="41"/>
    </row>
    <row r="107" spans="2:8">
      <c r="B107" s="445"/>
      <c r="C107" s="31" t="s">
        <v>82</v>
      </c>
      <c r="D107" s="454"/>
      <c r="E107" s="462"/>
      <c r="F107" s="464"/>
      <c r="G107" s="545"/>
      <c r="H107" s="41"/>
    </row>
    <row r="108" spans="2:8" ht="29">
      <c r="B108" s="447"/>
      <c r="C108" s="31" t="s">
        <v>286</v>
      </c>
      <c r="D108" s="453" t="s">
        <v>287</v>
      </c>
      <c r="E108" s="37" t="s">
        <v>279</v>
      </c>
      <c r="F108" s="85" t="s">
        <v>280</v>
      </c>
      <c r="G108" s="545"/>
      <c r="H108" s="41"/>
    </row>
    <row r="109" spans="2:8" ht="29">
      <c r="B109" s="447"/>
      <c r="C109" s="40" t="s">
        <v>288</v>
      </c>
      <c r="D109" s="454"/>
      <c r="E109" s="37" t="s">
        <v>289</v>
      </c>
      <c r="F109" s="85" t="s">
        <v>290</v>
      </c>
      <c r="G109" s="545"/>
      <c r="H109" s="41"/>
    </row>
    <row r="110" spans="2:8" ht="29">
      <c r="B110" s="447"/>
      <c r="C110" s="31" t="s">
        <v>291</v>
      </c>
      <c r="D110" s="457" t="s">
        <v>292</v>
      </c>
      <c r="E110" s="37" t="s">
        <v>293</v>
      </c>
      <c r="F110" s="85" t="s">
        <v>294</v>
      </c>
      <c r="G110" s="545"/>
      <c r="H110" s="41"/>
    </row>
    <row r="111" spans="2:8" ht="29">
      <c r="B111" s="447"/>
      <c r="C111" s="31" t="s">
        <v>82</v>
      </c>
      <c r="D111" s="454"/>
      <c r="E111" s="37" t="s">
        <v>295</v>
      </c>
      <c r="F111" s="112" t="s">
        <v>296</v>
      </c>
      <c r="G111" s="545"/>
      <c r="H111" s="41"/>
    </row>
    <row r="112" spans="2:8" ht="29">
      <c r="B112" s="447"/>
      <c r="C112" s="31" t="s">
        <v>291</v>
      </c>
      <c r="D112" s="457" t="s">
        <v>297</v>
      </c>
      <c r="E112" s="37" t="s">
        <v>298</v>
      </c>
      <c r="F112" s="85" t="s">
        <v>299</v>
      </c>
      <c r="G112" s="545"/>
      <c r="H112" s="41"/>
    </row>
    <row r="113" spans="2:8" ht="29">
      <c r="B113" s="447"/>
      <c r="C113" s="31" t="s">
        <v>82</v>
      </c>
      <c r="D113" s="454"/>
      <c r="E113" s="38" t="s">
        <v>300</v>
      </c>
      <c r="F113" s="85" t="s">
        <v>301</v>
      </c>
      <c r="G113" s="545"/>
      <c r="H113" s="41"/>
    </row>
    <row r="114" spans="2:8" ht="29">
      <c r="B114" s="447"/>
      <c r="C114" s="31" t="s">
        <v>291</v>
      </c>
      <c r="D114" s="457" t="s">
        <v>302</v>
      </c>
      <c r="E114" s="37" t="s">
        <v>298</v>
      </c>
      <c r="F114" s="85" t="s">
        <v>299</v>
      </c>
      <c r="G114" s="545"/>
      <c r="H114" s="41"/>
    </row>
    <row r="115" spans="2:8" ht="29">
      <c r="B115" s="447"/>
      <c r="C115" s="31" t="s">
        <v>82</v>
      </c>
      <c r="D115" s="454"/>
      <c r="E115" s="38" t="s">
        <v>300</v>
      </c>
      <c r="F115" s="85" t="s">
        <v>301</v>
      </c>
      <c r="G115" s="545"/>
      <c r="H115" s="41"/>
    </row>
    <row r="116" spans="2:8">
      <c r="B116" s="447"/>
      <c r="C116" s="31" t="s">
        <v>303</v>
      </c>
      <c r="D116" s="453" t="s">
        <v>304</v>
      </c>
      <c r="E116" s="38" t="s">
        <v>305</v>
      </c>
      <c r="F116" s="91" t="s">
        <v>306</v>
      </c>
      <c r="G116" s="545"/>
      <c r="H116" s="41"/>
    </row>
    <row r="117" spans="2:8" ht="29">
      <c r="B117" s="447"/>
      <c r="C117" s="31" t="s">
        <v>82</v>
      </c>
      <c r="D117" s="454"/>
      <c r="E117" s="38" t="s">
        <v>300</v>
      </c>
      <c r="F117" s="85" t="s">
        <v>301</v>
      </c>
      <c r="G117" s="545"/>
      <c r="H117" s="41"/>
    </row>
    <row r="118" spans="2:8" ht="29">
      <c r="B118" s="447"/>
      <c r="C118" s="31" t="s">
        <v>82</v>
      </c>
      <c r="D118" s="453" t="s">
        <v>307</v>
      </c>
      <c r="E118" s="37" t="s">
        <v>308</v>
      </c>
      <c r="F118" s="85" t="s">
        <v>309</v>
      </c>
      <c r="G118" s="545"/>
      <c r="H118" s="41"/>
    </row>
    <row r="119" spans="2:8" ht="29">
      <c r="B119" s="447"/>
      <c r="C119" s="31" t="s">
        <v>310</v>
      </c>
      <c r="D119" s="454"/>
      <c r="E119" s="38" t="s">
        <v>300</v>
      </c>
      <c r="F119" s="85" t="s">
        <v>301</v>
      </c>
      <c r="G119" s="545"/>
      <c r="H119" s="41"/>
    </row>
    <row r="120" spans="2:8" ht="43.5">
      <c r="B120" s="455" t="s">
        <v>311</v>
      </c>
      <c r="C120" s="31" t="s">
        <v>312</v>
      </c>
      <c r="D120" s="451" t="s">
        <v>313</v>
      </c>
      <c r="E120" s="37" t="s">
        <v>314</v>
      </c>
      <c r="F120" s="85" t="s">
        <v>315</v>
      </c>
      <c r="G120" s="545"/>
      <c r="H120" s="41"/>
    </row>
    <row r="121" spans="2:8" ht="43.5">
      <c r="B121" s="456"/>
      <c r="C121" s="31" t="s">
        <v>316</v>
      </c>
      <c r="D121" s="465"/>
      <c r="E121" s="37" t="s">
        <v>317</v>
      </c>
      <c r="F121" s="85" t="s">
        <v>318</v>
      </c>
      <c r="G121" s="545"/>
      <c r="H121" s="41"/>
    </row>
    <row r="122" spans="2:8" ht="43.5">
      <c r="B122" s="466" t="s">
        <v>319</v>
      </c>
      <c r="C122" s="31" t="s">
        <v>320</v>
      </c>
      <c r="D122" s="94" t="s">
        <v>321</v>
      </c>
      <c r="E122" s="37" t="s">
        <v>322</v>
      </c>
      <c r="F122" s="85" t="s">
        <v>323</v>
      </c>
      <c r="G122" s="545"/>
      <c r="H122" s="41"/>
    </row>
    <row r="123" spans="2:8" ht="29">
      <c r="B123" s="467"/>
      <c r="C123" s="31" t="s">
        <v>324</v>
      </c>
      <c r="D123" s="49" t="s">
        <v>325</v>
      </c>
      <c r="E123" s="37" t="s">
        <v>326</v>
      </c>
      <c r="F123" s="90" t="s">
        <v>327</v>
      </c>
      <c r="G123" s="545"/>
      <c r="H123" s="41"/>
    </row>
    <row r="124" spans="2:8" ht="60" customHeight="1">
      <c r="B124" s="456"/>
      <c r="C124" s="31" t="s">
        <v>328</v>
      </c>
      <c r="D124" s="49" t="s">
        <v>329</v>
      </c>
      <c r="E124" s="37" t="s">
        <v>330</v>
      </c>
      <c r="F124" s="85" t="s">
        <v>330</v>
      </c>
      <c r="G124" s="546"/>
      <c r="H124" s="41"/>
    </row>
    <row r="125" spans="2:8">
      <c r="B125" s="22" t="s">
        <v>331</v>
      </c>
      <c r="C125" s="21"/>
      <c r="D125" s="21"/>
      <c r="E125" s="21"/>
      <c r="F125" s="21"/>
      <c r="G125" s="4"/>
      <c r="H125" s="6"/>
    </row>
    <row r="126" spans="2:8">
      <c r="B126" s="512" t="s">
        <v>332</v>
      </c>
      <c r="C126" s="532"/>
      <c r="D126" s="532"/>
      <c r="E126" s="532"/>
      <c r="F126" s="532"/>
      <c r="G126" s="532"/>
    </row>
    <row r="127" spans="2:8" ht="29">
      <c r="B127" s="45" t="s">
        <v>333</v>
      </c>
      <c r="C127" s="31" t="s">
        <v>334</v>
      </c>
      <c r="D127" s="52" t="s">
        <v>335</v>
      </c>
      <c r="E127" s="60" t="s">
        <v>336</v>
      </c>
      <c r="F127" s="85" t="s">
        <v>337</v>
      </c>
      <c r="G127" s="536" t="s">
        <v>338</v>
      </c>
    </row>
    <row r="128" spans="2:8" ht="29">
      <c r="B128" s="446" t="s">
        <v>339</v>
      </c>
      <c r="C128" s="46" t="s">
        <v>340</v>
      </c>
      <c r="D128" s="50" t="s">
        <v>341</v>
      </c>
      <c r="E128" s="60" t="s">
        <v>342</v>
      </c>
      <c r="F128" s="91" t="s">
        <v>342</v>
      </c>
      <c r="G128" s="537"/>
    </row>
    <row r="129" spans="2:7" ht="29">
      <c r="B129" s="445"/>
      <c r="C129" s="46" t="s">
        <v>82</v>
      </c>
      <c r="D129" s="52" t="s">
        <v>343</v>
      </c>
      <c r="E129" s="37" t="s">
        <v>344</v>
      </c>
      <c r="F129" s="90" t="s">
        <v>344</v>
      </c>
      <c r="G129" s="537"/>
    </row>
    <row r="130" spans="2:7" ht="29">
      <c r="B130" s="447"/>
      <c r="C130" s="31" t="s">
        <v>345</v>
      </c>
      <c r="D130" s="49" t="s">
        <v>346</v>
      </c>
      <c r="E130" s="37" t="s">
        <v>347</v>
      </c>
      <c r="F130" s="85" t="s">
        <v>347</v>
      </c>
      <c r="G130" s="537"/>
    </row>
    <row r="131" spans="2:7" ht="43.5">
      <c r="B131" s="447"/>
      <c r="C131" s="46" t="s">
        <v>348</v>
      </c>
      <c r="D131" s="52" t="s">
        <v>349</v>
      </c>
      <c r="E131" s="60" t="s">
        <v>350</v>
      </c>
      <c r="F131" s="90" t="s">
        <v>351</v>
      </c>
      <c r="G131" s="537"/>
    </row>
    <row r="132" spans="2:7" ht="45" customHeight="1">
      <c r="B132" s="447"/>
      <c r="C132" s="31" t="s">
        <v>352</v>
      </c>
      <c r="D132" s="49" t="s">
        <v>353</v>
      </c>
      <c r="E132" s="468" t="s">
        <v>354</v>
      </c>
      <c r="F132" s="469" t="s">
        <v>354</v>
      </c>
      <c r="G132" s="537"/>
    </row>
    <row r="133" spans="2:7">
      <c r="B133" s="447"/>
      <c r="C133" s="31" t="s">
        <v>355</v>
      </c>
      <c r="D133" s="50" t="s">
        <v>356</v>
      </c>
      <c r="E133" s="485"/>
      <c r="F133" s="485"/>
      <c r="G133" s="537"/>
    </row>
    <row r="134" spans="2:7" ht="43.5">
      <c r="B134" s="447"/>
      <c r="C134" s="31" t="s">
        <v>357</v>
      </c>
      <c r="D134" s="49" t="s">
        <v>358</v>
      </c>
      <c r="E134" s="37" t="s">
        <v>359</v>
      </c>
      <c r="F134" s="85" t="s">
        <v>359</v>
      </c>
      <c r="G134" s="537"/>
    </row>
    <row r="135" spans="2:7" ht="43.5">
      <c r="B135" s="447"/>
      <c r="C135" s="31" t="s">
        <v>360</v>
      </c>
      <c r="D135" s="49" t="s">
        <v>361</v>
      </c>
      <c r="E135" s="60" t="s">
        <v>362</v>
      </c>
      <c r="F135" s="93" t="s">
        <v>363</v>
      </c>
      <c r="G135" s="537"/>
    </row>
    <row r="136" spans="2:7" ht="43.5">
      <c r="B136" s="447"/>
      <c r="C136" s="31" t="s">
        <v>364</v>
      </c>
      <c r="D136" s="49" t="s">
        <v>365</v>
      </c>
      <c r="E136" s="60" t="s">
        <v>365</v>
      </c>
      <c r="F136" s="85" t="s">
        <v>365</v>
      </c>
      <c r="G136" s="537"/>
    </row>
    <row r="137" spans="2:7" ht="22.25" customHeight="1">
      <c r="B137" s="447"/>
      <c r="C137" s="31" t="s">
        <v>174</v>
      </c>
      <c r="D137" s="539" t="s">
        <v>366</v>
      </c>
      <c r="E137" s="468" t="s">
        <v>367</v>
      </c>
      <c r="F137" s="469" t="s">
        <v>367</v>
      </c>
      <c r="G137" s="537"/>
    </row>
    <row r="138" spans="2:7" ht="22.25" customHeight="1">
      <c r="B138" s="447"/>
      <c r="C138" s="31" t="s">
        <v>82</v>
      </c>
      <c r="D138" s="499"/>
      <c r="E138" s="452"/>
      <c r="F138" s="490"/>
      <c r="G138" s="537"/>
    </row>
    <row r="139" spans="2:7" ht="29">
      <c r="B139" s="447"/>
      <c r="C139" s="31" t="s">
        <v>368</v>
      </c>
      <c r="D139" s="52" t="s">
        <v>369</v>
      </c>
      <c r="E139" s="37" t="s">
        <v>370</v>
      </c>
      <c r="F139" s="85" t="s">
        <v>370</v>
      </c>
      <c r="G139" s="537"/>
    </row>
    <row r="140" spans="2:7">
      <c r="B140" s="447"/>
      <c r="C140" s="40" t="s">
        <v>174</v>
      </c>
      <c r="D140" s="457" t="s">
        <v>371</v>
      </c>
      <c r="E140" s="533" t="s">
        <v>372</v>
      </c>
      <c r="F140" s="534" t="s">
        <v>372</v>
      </c>
      <c r="G140" s="537"/>
    </row>
    <row r="141" spans="2:7">
      <c r="B141" s="447"/>
      <c r="C141" s="31" t="s">
        <v>82</v>
      </c>
      <c r="D141" s="498"/>
      <c r="E141" s="485"/>
      <c r="F141" s="450"/>
      <c r="G141" s="537"/>
    </row>
    <row r="142" spans="2:7" ht="42" customHeight="1">
      <c r="B142" s="447"/>
      <c r="C142" s="31" t="s">
        <v>373</v>
      </c>
      <c r="D142" s="49" t="s">
        <v>374</v>
      </c>
      <c r="E142" s="37" t="s">
        <v>374</v>
      </c>
      <c r="F142" s="85" t="s">
        <v>374</v>
      </c>
      <c r="G142" s="537"/>
    </row>
    <row r="143" spans="2:7" ht="30" customHeight="1">
      <c r="B143" s="447"/>
      <c r="C143" s="31" t="s">
        <v>174</v>
      </c>
      <c r="D143" s="457" t="s">
        <v>375</v>
      </c>
      <c r="E143" s="468" t="s">
        <v>376</v>
      </c>
      <c r="F143" s="469" t="s">
        <v>377</v>
      </c>
      <c r="G143" s="537"/>
    </row>
    <row r="144" spans="2:7" ht="30" customHeight="1">
      <c r="B144" s="447"/>
      <c r="C144" s="31" t="s">
        <v>82</v>
      </c>
      <c r="D144" s="454"/>
      <c r="E144" s="456"/>
      <c r="F144" s="470"/>
      <c r="G144" s="537"/>
    </row>
    <row r="145" spans="2:8" ht="22.25" customHeight="1">
      <c r="B145" s="444" t="s">
        <v>378</v>
      </c>
      <c r="C145" s="31" t="s">
        <v>174</v>
      </c>
      <c r="D145" s="457" t="s">
        <v>379</v>
      </c>
      <c r="E145" s="533" t="s">
        <v>380</v>
      </c>
      <c r="F145" s="534" t="s">
        <v>381</v>
      </c>
      <c r="G145" s="537"/>
    </row>
    <row r="146" spans="2:8" ht="22.25" customHeight="1">
      <c r="B146" s="445"/>
      <c r="C146" s="31" t="s">
        <v>82</v>
      </c>
      <c r="D146" s="500"/>
      <c r="E146" s="452"/>
      <c r="F146" s="535"/>
      <c r="G146" s="537"/>
    </row>
    <row r="147" spans="2:8" ht="58">
      <c r="B147" s="445"/>
      <c r="C147" s="31" t="s">
        <v>382</v>
      </c>
      <c r="D147" s="66" t="s">
        <v>383</v>
      </c>
      <c r="E147" s="37" t="s">
        <v>384</v>
      </c>
      <c r="F147" s="90" t="s">
        <v>384</v>
      </c>
      <c r="G147" s="538"/>
    </row>
    <row r="148" spans="2:8">
      <c r="B148" s="458" t="s">
        <v>385</v>
      </c>
      <c r="C148" s="459"/>
      <c r="D148" s="459"/>
      <c r="E148" s="459"/>
      <c r="F148" s="459"/>
      <c r="G148" s="460"/>
      <c r="H148" s="6"/>
    </row>
    <row r="149" spans="2:8">
      <c r="B149" s="508" t="s">
        <v>386</v>
      </c>
      <c r="C149" s="459"/>
      <c r="D149" s="459"/>
      <c r="E149" s="459"/>
      <c r="F149" s="460"/>
      <c r="G149" s="63"/>
      <c r="H149" s="6"/>
    </row>
    <row r="150" spans="2:8" ht="29">
      <c r="B150" s="446" t="s">
        <v>387</v>
      </c>
      <c r="C150" s="35" t="s">
        <v>388</v>
      </c>
      <c r="D150" s="49" t="s">
        <v>389</v>
      </c>
      <c r="E150" s="38" t="s">
        <v>390</v>
      </c>
      <c r="F150" s="448" t="s">
        <v>391</v>
      </c>
      <c r="G150" s="481" t="s">
        <v>392</v>
      </c>
      <c r="H150" s="9"/>
    </row>
    <row r="151" spans="2:8" ht="29">
      <c r="B151" s="446"/>
      <c r="C151" s="36" t="s">
        <v>393</v>
      </c>
      <c r="D151" s="49" t="s">
        <v>394</v>
      </c>
      <c r="E151" s="38" t="s">
        <v>395</v>
      </c>
      <c r="F151" s="456"/>
      <c r="G151" s="495"/>
      <c r="H151" s="9"/>
    </row>
    <row r="152" spans="2:8" ht="32" customHeight="1">
      <c r="B152" s="446" t="s">
        <v>396</v>
      </c>
      <c r="C152" s="36" t="s">
        <v>397</v>
      </c>
      <c r="D152" s="49" t="s">
        <v>398</v>
      </c>
      <c r="E152" s="60" t="s">
        <v>399</v>
      </c>
      <c r="F152" s="494" t="s">
        <v>400</v>
      </c>
      <c r="G152" s="495"/>
      <c r="H152" s="9"/>
    </row>
    <row r="153" spans="2:8">
      <c r="B153" s="446"/>
      <c r="C153" s="36" t="s">
        <v>401</v>
      </c>
      <c r="D153" s="49" t="s">
        <v>402</v>
      </c>
      <c r="E153" s="56" t="s">
        <v>403</v>
      </c>
      <c r="F153" s="450"/>
      <c r="G153" s="509"/>
      <c r="H153" s="9"/>
    </row>
    <row r="154" spans="2:8" ht="29">
      <c r="B154" s="446" t="s">
        <v>404</v>
      </c>
      <c r="C154" s="36" t="s">
        <v>352</v>
      </c>
      <c r="D154" s="49" t="s">
        <v>405</v>
      </c>
      <c r="E154" s="37" t="s">
        <v>406</v>
      </c>
      <c r="F154" s="448" t="s">
        <v>407</v>
      </c>
      <c r="G154" s="481" t="s">
        <v>408</v>
      </c>
      <c r="H154" s="9"/>
    </row>
    <row r="155" spans="2:8">
      <c r="B155" s="446"/>
      <c r="C155" s="36" t="s">
        <v>409</v>
      </c>
      <c r="D155" s="49" t="s">
        <v>410</v>
      </c>
      <c r="E155" s="56" t="s">
        <v>411</v>
      </c>
      <c r="F155" s="452"/>
      <c r="G155" s="495"/>
      <c r="H155" s="9"/>
    </row>
    <row r="156" spans="2:8">
      <c r="B156" s="444" t="s">
        <v>412</v>
      </c>
      <c r="C156" s="36" t="s">
        <v>413</v>
      </c>
      <c r="D156" s="49" t="s">
        <v>414</v>
      </c>
      <c r="E156" s="56" t="s">
        <v>415</v>
      </c>
      <c r="F156" s="448" t="s">
        <v>416</v>
      </c>
      <c r="G156" s="495"/>
      <c r="H156" s="9"/>
    </row>
    <row r="157" spans="2:8">
      <c r="B157" s="510"/>
      <c r="C157" s="36" t="s">
        <v>417</v>
      </c>
      <c r="D157" s="51" t="s">
        <v>418</v>
      </c>
      <c r="E157" s="56" t="s">
        <v>419</v>
      </c>
      <c r="F157" s="490"/>
      <c r="G157" s="509"/>
      <c r="H157" s="9"/>
    </row>
    <row r="158" spans="2:8" ht="29">
      <c r="B158" s="510"/>
      <c r="C158" s="36" t="s">
        <v>420</v>
      </c>
      <c r="D158" s="51" t="s">
        <v>421</v>
      </c>
      <c r="E158" s="38" t="s">
        <v>422</v>
      </c>
      <c r="F158" s="87" t="s">
        <v>423</v>
      </c>
      <c r="G158" s="481" t="s">
        <v>424</v>
      </c>
      <c r="H158" s="9"/>
    </row>
    <row r="159" spans="2:8" ht="29">
      <c r="B159" s="510"/>
      <c r="C159" s="36" t="s">
        <v>425</v>
      </c>
      <c r="D159" s="88" t="s">
        <v>426</v>
      </c>
      <c r="E159" s="38" t="s">
        <v>427</v>
      </c>
      <c r="F159" s="87" t="s">
        <v>428</v>
      </c>
      <c r="G159" s="483"/>
      <c r="H159" s="9"/>
    </row>
    <row r="160" spans="2:8" ht="32" customHeight="1">
      <c r="B160" s="444" t="s">
        <v>429</v>
      </c>
      <c r="C160" s="36" t="s">
        <v>430</v>
      </c>
      <c r="D160" s="451" t="s">
        <v>431</v>
      </c>
      <c r="E160" s="468" t="s">
        <v>432</v>
      </c>
      <c r="F160" s="494" t="s">
        <v>433</v>
      </c>
      <c r="G160" s="481" t="s">
        <v>434</v>
      </c>
      <c r="H160" s="9"/>
    </row>
    <row r="161" spans="2:8" ht="32" customHeight="1">
      <c r="B161" s="444"/>
      <c r="C161" s="36" t="s">
        <v>435</v>
      </c>
      <c r="D161" s="452"/>
      <c r="E161" s="452"/>
      <c r="F161" s="450"/>
      <c r="G161" s="495"/>
      <c r="H161" s="9"/>
    </row>
    <row r="162" spans="2:8" ht="29">
      <c r="B162" s="444"/>
      <c r="C162" s="36" t="s">
        <v>436</v>
      </c>
      <c r="D162" s="451" t="s">
        <v>437</v>
      </c>
      <c r="E162" s="37" t="s">
        <v>438</v>
      </c>
      <c r="F162" s="448" t="s">
        <v>439</v>
      </c>
      <c r="G162" s="495"/>
      <c r="H162" s="9"/>
    </row>
    <row r="163" spans="2:8" ht="29">
      <c r="B163" s="510"/>
      <c r="C163" s="36" t="s">
        <v>55</v>
      </c>
      <c r="D163" s="452"/>
      <c r="E163" s="37" t="s">
        <v>440</v>
      </c>
      <c r="F163" s="449"/>
      <c r="G163" s="495"/>
      <c r="H163" s="9"/>
    </row>
    <row r="164" spans="2:8">
      <c r="B164" s="510"/>
      <c r="C164" s="89" t="s">
        <v>439</v>
      </c>
      <c r="D164" s="50"/>
      <c r="E164" s="56"/>
      <c r="F164" s="450"/>
      <c r="G164" s="495"/>
      <c r="H164" s="9"/>
    </row>
    <row r="165" spans="2:8" ht="29" customHeight="1">
      <c r="B165" s="446" t="s">
        <v>441</v>
      </c>
      <c r="C165" s="36" t="s">
        <v>436</v>
      </c>
      <c r="D165" s="451" t="s">
        <v>442</v>
      </c>
      <c r="E165" s="37" t="s">
        <v>443</v>
      </c>
      <c r="F165" s="448" t="s">
        <v>444</v>
      </c>
      <c r="G165" s="495"/>
      <c r="H165" s="9"/>
    </row>
    <row r="166" spans="2:8" ht="29" customHeight="1">
      <c r="B166" s="446"/>
      <c r="C166" s="36" t="s">
        <v>55</v>
      </c>
      <c r="D166" s="452"/>
      <c r="E166" s="38" t="s">
        <v>445</v>
      </c>
      <c r="F166" s="449"/>
      <c r="G166" s="495"/>
      <c r="H166" s="9"/>
    </row>
    <row r="167" spans="2:8" ht="43.5">
      <c r="B167" s="446"/>
      <c r="C167" s="36" t="s">
        <v>446</v>
      </c>
      <c r="D167" s="66" t="s">
        <v>447</v>
      </c>
      <c r="E167" s="37" t="s">
        <v>448</v>
      </c>
      <c r="F167" s="450"/>
      <c r="G167" s="509"/>
      <c r="H167" s="39"/>
    </row>
    <row r="168" spans="2:8">
      <c r="B168" s="26" t="s">
        <v>449</v>
      </c>
      <c r="C168" s="42" t="s">
        <v>3</v>
      </c>
      <c r="D168" s="21"/>
      <c r="E168" s="21"/>
      <c r="F168" s="21"/>
      <c r="G168" s="4"/>
      <c r="H168" s="6"/>
    </row>
    <row r="169" spans="2:8">
      <c r="B169" s="540" t="s">
        <v>450</v>
      </c>
      <c r="C169" s="541"/>
      <c r="D169" s="541"/>
      <c r="E169" s="541"/>
      <c r="F169" s="541"/>
      <c r="G169" s="541"/>
      <c r="H169" s="6"/>
    </row>
    <row r="170" spans="2:8" ht="58">
      <c r="B170" s="444" t="s">
        <v>451</v>
      </c>
      <c r="C170" s="31" t="s">
        <v>452</v>
      </c>
      <c r="D170" s="453" t="s">
        <v>453</v>
      </c>
      <c r="E170" s="37" t="s">
        <v>454</v>
      </c>
      <c r="F170" s="85" t="s">
        <v>455</v>
      </c>
      <c r="G170" s="481" t="s">
        <v>456</v>
      </c>
      <c r="H170" s="6"/>
    </row>
    <row r="171" spans="2:8">
      <c r="B171" s="447"/>
      <c r="C171" s="31" t="s">
        <v>457</v>
      </c>
      <c r="D171" s="454"/>
      <c r="E171" s="37" t="s">
        <v>458</v>
      </c>
      <c r="F171" s="85" t="s">
        <v>459</v>
      </c>
      <c r="G171" s="482"/>
      <c r="H171" s="6"/>
    </row>
    <row r="172" spans="2:8" ht="43.5">
      <c r="B172" s="447"/>
      <c r="C172" s="31" t="s">
        <v>460</v>
      </c>
      <c r="D172" s="49" t="s">
        <v>461</v>
      </c>
      <c r="E172" s="37" t="s">
        <v>462</v>
      </c>
      <c r="F172" s="85" t="s">
        <v>463</v>
      </c>
      <c r="G172" s="482"/>
      <c r="H172" s="6"/>
    </row>
    <row r="173" spans="2:8" ht="29">
      <c r="B173" s="447"/>
      <c r="C173" s="31" t="s">
        <v>464</v>
      </c>
      <c r="D173" s="457" t="s">
        <v>465</v>
      </c>
      <c r="E173" s="37" t="s">
        <v>466</v>
      </c>
      <c r="F173" s="85" t="s">
        <v>467</v>
      </c>
      <c r="G173" s="482"/>
      <c r="H173" s="6"/>
    </row>
    <row r="174" spans="2:8">
      <c r="B174" s="447"/>
      <c r="C174" s="31" t="s">
        <v>457</v>
      </c>
      <c r="D174" s="498"/>
      <c r="E174" s="38" t="s">
        <v>458</v>
      </c>
      <c r="F174" s="93" t="s">
        <v>459</v>
      </c>
      <c r="G174" s="482"/>
      <c r="H174" s="6"/>
    </row>
    <row r="175" spans="2:8" ht="29">
      <c r="B175" s="447"/>
      <c r="C175" s="31" t="s">
        <v>468</v>
      </c>
      <c r="D175" s="51" t="s">
        <v>469</v>
      </c>
      <c r="E175" s="37" t="s">
        <v>470</v>
      </c>
      <c r="F175" s="85" t="s">
        <v>471</v>
      </c>
      <c r="G175" s="482"/>
      <c r="H175" s="6"/>
    </row>
    <row r="176" spans="2:8" ht="29">
      <c r="B176" s="447"/>
      <c r="C176" s="31" t="s">
        <v>472</v>
      </c>
      <c r="D176" s="49" t="s">
        <v>473</v>
      </c>
      <c r="E176" s="37" t="s">
        <v>474</v>
      </c>
      <c r="F176" s="85" t="s">
        <v>475</v>
      </c>
      <c r="G176" s="482"/>
      <c r="H176" s="6"/>
    </row>
    <row r="177" spans="2:12" ht="30" customHeight="1">
      <c r="B177" s="447"/>
      <c r="C177" s="31" t="s">
        <v>476</v>
      </c>
      <c r="D177" s="457" t="s">
        <v>477</v>
      </c>
      <c r="E177" s="38" t="s">
        <v>478</v>
      </c>
      <c r="F177" s="85" t="s">
        <v>479</v>
      </c>
      <c r="G177" s="482"/>
      <c r="H177" s="6"/>
    </row>
    <row r="178" spans="2:12">
      <c r="B178" s="447"/>
      <c r="C178" s="31" t="s">
        <v>480</v>
      </c>
      <c r="D178" s="498"/>
      <c r="E178" s="38" t="s">
        <v>481</v>
      </c>
      <c r="F178" s="93" t="s">
        <v>482</v>
      </c>
      <c r="G178" s="482"/>
      <c r="H178" s="6"/>
    </row>
    <row r="179" spans="2:12" ht="43.5">
      <c r="B179" s="447"/>
      <c r="C179" s="31" t="s">
        <v>483</v>
      </c>
      <c r="D179" s="457" t="s">
        <v>484</v>
      </c>
      <c r="E179" s="60" t="s">
        <v>485</v>
      </c>
      <c r="F179" s="85" t="s">
        <v>486</v>
      </c>
      <c r="G179" s="482"/>
      <c r="H179" s="6"/>
    </row>
    <row r="180" spans="2:12" ht="16.25" customHeight="1">
      <c r="B180" s="447"/>
      <c r="C180" s="43" t="s">
        <v>487</v>
      </c>
      <c r="D180" s="499"/>
      <c r="E180" s="38" t="s">
        <v>488</v>
      </c>
      <c r="F180" s="91" t="s">
        <v>489</v>
      </c>
      <c r="G180" s="482"/>
      <c r="H180" s="6"/>
    </row>
    <row r="181" spans="2:12" s="5" customFormat="1" ht="31.25" customHeight="1">
      <c r="B181" s="447"/>
      <c r="C181" s="44" t="s">
        <v>490</v>
      </c>
      <c r="D181" s="52" t="s">
        <v>491</v>
      </c>
      <c r="E181" s="60" t="s">
        <v>492</v>
      </c>
      <c r="F181" s="85" t="s">
        <v>493</v>
      </c>
      <c r="G181" s="483"/>
      <c r="H181" s="6"/>
      <c r="K181" s="174"/>
      <c r="L181" s="174"/>
    </row>
    <row r="182" spans="2:12">
      <c r="B182" s="471" t="s">
        <v>494</v>
      </c>
      <c r="C182" s="472"/>
      <c r="D182" s="472"/>
      <c r="E182" s="472"/>
      <c r="F182" s="472"/>
      <c r="G182" s="472"/>
      <c r="H182" s="6"/>
    </row>
    <row r="183" spans="2:12">
      <c r="B183" s="476" t="s">
        <v>495</v>
      </c>
      <c r="C183" s="476"/>
      <c r="D183" s="476"/>
      <c r="E183" s="476"/>
      <c r="F183" s="476"/>
      <c r="G183" s="476"/>
    </row>
    <row r="184" spans="2:12" ht="29">
      <c r="B184" s="444" t="s">
        <v>496</v>
      </c>
      <c r="C184" s="40" t="s">
        <v>497</v>
      </c>
      <c r="D184" s="30" t="s">
        <v>498</v>
      </c>
      <c r="E184" s="468" t="s">
        <v>499</v>
      </c>
      <c r="F184" s="469" t="s">
        <v>500</v>
      </c>
      <c r="G184" s="473" t="s">
        <v>501</v>
      </c>
    </row>
    <row r="185" spans="2:12" ht="29">
      <c r="B185" s="445"/>
      <c r="C185" s="31" t="s">
        <v>502</v>
      </c>
      <c r="D185" s="30" t="s">
        <v>503</v>
      </c>
      <c r="E185" s="456"/>
      <c r="F185" s="456"/>
      <c r="G185" s="474"/>
    </row>
    <row r="186" spans="2:12" ht="29">
      <c r="B186" s="445"/>
      <c r="C186" s="31" t="s">
        <v>504</v>
      </c>
      <c r="D186" s="30" t="s">
        <v>505</v>
      </c>
      <c r="E186" s="37" t="s">
        <v>506</v>
      </c>
      <c r="F186" s="85" t="s">
        <v>507</v>
      </c>
      <c r="G186" s="474"/>
    </row>
    <row r="187" spans="2:12" ht="29">
      <c r="B187" s="444" t="s">
        <v>508</v>
      </c>
      <c r="C187" s="31" t="s">
        <v>509</v>
      </c>
      <c r="D187" s="30" t="s">
        <v>510</v>
      </c>
      <c r="E187" s="37" t="s">
        <v>511</v>
      </c>
      <c r="F187" s="85" t="s">
        <v>512</v>
      </c>
      <c r="G187" s="474"/>
    </row>
    <row r="188" spans="2:12">
      <c r="B188" s="445"/>
      <c r="C188" s="31" t="s">
        <v>513</v>
      </c>
      <c r="D188" s="444" t="s">
        <v>514</v>
      </c>
      <c r="E188" s="37" t="s">
        <v>515</v>
      </c>
      <c r="F188" s="469" t="s">
        <v>516</v>
      </c>
      <c r="G188" s="474"/>
    </row>
    <row r="189" spans="2:12">
      <c r="B189" s="445"/>
      <c r="C189" s="31" t="s">
        <v>82</v>
      </c>
      <c r="D189" s="445"/>
      <c r="E189" s="38" t="s">
        <v>517</v>
      </c>
      <c r="F189" s="470"/>
      <c r="G189" s="475"/>
    </row>
    <row r="190" spans="2:12">
      <c r="B190" s="524" t="s">
        <v>518</v>
      </c>
      <c r="C190" s="525"/>
      <c r="D190" s="525"/>
      <c r="E190" s="525"/>
      <c r="F190" s="525"/>
      <c r="G190" s="447"/>
    </row>
    <row r="191" spans="2:12">
      <c r="B191" s="526" t="s">
        <v>519</v>
      </c>
      <c r="C191" s="527"/>
      <c r="D191" s="80"/>
      <c r="E191" s="79"/>
      <c r="F191" s="528"/>
      <c r="G191" s="529"/>
    </row>
    <row r="192" spans="2:12">
      <c r="B192" s="530" t="s">
        <v>520</v>
      </c>
      <c r="C192" s="527"/>
      <c r="D192" s="62"/>
      <c r="E192" s="531" t="s">
        <v>3</v>
      </c>
      <c r="F192" s="447"/>
      <c r="G192" s="447"/>
    </row>
    <row r="193" spans="1:7" ht="29">
      <c r="B193" s="446" t="s">
        <v>521</v>
      </c>
      <c r="C193" s="31" t="s">
        <v>522</v>
      </c>
      <c r="D193" s="49" t="s">
        <v>523</v>
      </c>
      <c r="E193" s="37" t="s">
        <v>524</v>
      </c>
      <c r="F193" s="76" t="s">
        <v>525</v>
      </c>
      <c r="G193" s="481" t="s">
        <v>526</v>
      </c>
    </row>
    <row r="194" spans="1:7" ht="43.5">
      <c r="B194" s="445"/>
      <c r="C194" s="31" t="s">
        <v>527</v>
      </c>
      <c r="D194" s="66" t="s">
        <v>528</v>
      </c>
      <c r="E194" s="37" t="s">
        <v>529</v>
      </c>
      <c r="F194" s="76" t="s">
        <v>530</v>
      </c>
      <c r="G194" s="516"/>
    </row>
    <row r="195" spans="1:7" ht="29">
      <c r="B195" s="445"/>
      <c r="C195" s="31" t="s">
        <v>531</v>
      </c>
      <c r="D195" s="49" t="s">
        <v>532</v>
      </c>
      <c r="E195" s="77" t="s">
        <v>533</v>
      </c>
      <c r="F195" s="78" t="s">
        <v>534</v>
      </c>
      <c r="G195" s="516"/>
    </row>
    <row r="196" spans="1:7" ht="58">
      <c r="A196" s="113"/>
      <c r="B196" s="445"/>
      <c r="C196" s="31" t="s">
        <v>535</v>
      </c>
      <c r="D196" s="66" t="s">
        <v>536</v>
      </c>
      <c r="E196" s="77" t="s">
        <v>537</v>
      </c>
      <c r="F196" s="78" t="s">
        <v>538</v>
      </c>
      <c r="G196" s="516"/>
    </row>
    <row r="197" spans="1:7" ht="29">
      <c r="A197" s="113"/>
      <c r="B197" s="445"/>
      <c r="C197" s="31" t="s">
        <v>55</v>
      </c>
      <c r="D197" s="49"/>
      <c r="E197" s="38" t="s">
        <v>539</v>
      </c>
      <c r="F197" s="76" t="s">
        <v>540</v>
      </c>
      <c r="G197" s="516"/>
    </row>
    <row r="198" spans="1:7">
      <c r="A198" s="113"/>
      <c r="B198" s="445"/>
      <c r="C198" s="31" t="s">
        <v>541</v>
      </c>
      <c r="D198" s="49"/>
      <c r="E198" s="38" t="s">
        <v>542</v>
      </c>
      <c r="F198" s="76" t="s">
        <v>543</v>
      </c>
      <c r="G198" s="516"/>
    </row>
    <row r="199" spans="1:7" ht="29">
      <c r="A199" s="113"/>
      <c r="B199" s="445"/>
      <c r="C199" s="31" t="s">
        <v>544</v>
      </c>
      <c r="D199" s="49" t="s">
        <v>545</v>
      </c>
      <c r="E199" s="37" t="s">
        <v>546</v>
      </c>
      <c r="F199" s="76" t="s">
        <v>547</v>
      </c>
      <c r="G199" s="516"/>
    </row>
    <row r="200" spans="1:7" ht="28.25" customHeight="1">
      <c r="A200" s="113"/>
      <c r="B200" s="445"/>
      <c r="C200" s="31" t="s">
        <v>548</v>
      </c>
      <c r="D200" s="49" t="s">
        <v>3</v>
      </c>
      <c r="E200" s="37" t="s">
        <v>549</v>
      </c>
      <c r="F200" s="76" t="s">
        <v>550</v>
      </c>
      <c r="G200" s="516"/>
    </row>
    <row r="201" spans="1:7">
      <c r="A201" s="113"/>
      <c r="B201" s="445"/>
      <c r="C201" s="31" t="s">
        <v>551</v>
      </c>
      <c r="D201" s="49"/>
      <c r="E201" s="38" t="s">
        <v>552</v>
      </c>
      <c r="F201" s="76" t="s">
        <v>553</v>
      </c>
      <c r="G201" s="516"/>
    </row>
    <row r="202" spans="1:7" ht="29">
      <c r="A202" s="113"/>
      <c r="B202" s="445"/>
      <c r="C202" s="31" t="s">
        <v>554</v>
      </c>
      <c r="D202" s="49"/>
      <c r="E202" s="38" t="s">
        <v>555</v>
      </c>
      <c r="F202" s="76" t="s">
        <v>556</v>
      </c>
      <c r="G202" s="516"/>
    </row>
    <row r="203" spans="1:7">
      <c r="A203" s="113"/>
      <c r="B203" s="445"/>
      <c r="C203" s="31" t="s">
        <v>557</v>
      </c>
      <c r="D203" s="49"/>
      <c r="E203" s="38" t="s">
        <v>558</v>
      </c>
      <c r="F203" s="76" t="s">
        <v>559</v>
      </c>
      <c r="G203" s="517"/>
    </row>
    <row r="204" spans="1:7" ht="29">
      <c r="A204" s="113"/>
      <c r="B204" s="446" t="s">
        <v>560</v>
      </c>
      <c r="C204" s="31" t="s">
        <v>561</v>
      </c>
      <c r="D204" s="51" t="s">
        <v>562</v>
      </c>
      <c r="E204" s="38" t="s">
        <v>563</v>
      </c>
      <c r="F204" s="76" t="s">
        <v>564</v>
      </c>
      <c r="G204" s="481" t="s">
        <v>565</v>
      </c>
    </row>
    <row r="205" spans="1:7">
      <c r="A205" s="113"/>
      <c r="B205" s="445"/>
      <c r="C205" s="31" t="s">
        <v>566</v>
      </c>
      <c r="D205" s="51" t="s">
        <v>567</v>
      </c>
      <c r="E205" s="38" t="s">
        <v>568</v>
      </c>
      <c r="F205" s="76" t="s">
        <v>569</v>
      </c>
      <c r="G205" s="516"/>
    </row>
    <row r="206" spans="1:7" ht="15" customHeight="1">
      <c r="A206" s="113"/>
      <c r="B206" s="445"/>
      <c r="C206" s="31" t="s">
        <v>570</v>
      </c>
      <c r="D206" s="51" t="s">
        <v>571</v>
      </c>
      <c r="E206" s="38" t="s">
        <v>572</v>
      </c>
      <c r="F206" s="76" t="s">
        <v>573</v>
      </c>
      <c r="G206" s="516"/>
    </row>
    <row r="207" spans="1:7" ht="42" customHeight="1">
      <c r="A207" s="113"/>
      <c r="B207" s="445"/>
      <c r="C207" s="40" t="s">
        <v>574</v>
      </c>
      <c r="D207" s="49"/>
      <c r="E207" s="37" t="s">
        <v>575</v>
      </c>
      <c r="F207" s="76" t="s">
        <v>576</v>
      </c>
      <c r="G207" s="516"/>
    </row>
    <row r="208" spans="1:7" ht="43.5">
      <c r="A208" s="113"/>
      <c r="B208" s="445"/>
      <c r="C208" s="31" t="s">
        <v>577</v>
      </c>
      <c r="D208" s="49" t="s">
        <v>578</v>
      </c>
      <c r="E208" s="37" t="s">
        <v>579</v>
      </c>
      <c r="F208" s="76" t="s">
        <v>580</v>
      </c>
      <c r="G208" s="516"/>
    </row>
    <row r="209" spans="1:9" ht="29">
      <c r="A209" s="113"/>
      <c r="B209" s="445"/>
      <c r="C209" s="31" t="s">
        <v>566</v>
      </c>
      <c r="D209" s="51" t="s">
        <v>581</v>
      </c>
      <c r="E209" s="37" t="s">
        <v>582</v>
      </c>
      <c r="F209" s="76" t="s">
        <v>583</v>
      </c>
      <c r="G209" s="516"/>
    </row>
    <row r="210" spans="1:9" ht="29">
      <c r="A210" s="113"/>
      <c r="B210" s="445"/>
      <c r="C210" s="31" t="s">
        <v>570</v>
      </c>
      <c r="D210" s="51" t="s">
        <v>584</v>
      </c>
      <c r="E210" s="37" t="s">
        <v>585</v>
      </c>
      <c r="F210" s="76" t="s">
        <v>586</v>
      </c>
      <c r="G210" s="516"/>
    </row>
    <row r="211" spans="1:9" ht="29">
      <c r="A211" s="113"/>
      <c r="B211" s="445"/>
      <c r="C211" s="31" t="s">
        <v>587</v>
      </c>
      <c r="D211" s="49" t="s">
        <v>588</v>
      </c>
      <c r="E211" s="37" t="s">
        <v>589</v>
      </c>
      <c r="F211" s="76" t="s">
        <v>590</v>
      </c>
      <c r="G211" s="516"/>
    </row>
    <row r="212" spans="1:9" ht="29">
      <c r="A212" s="113"/>
      <c r="B212" s="72" t="s">
        <v>591</v>
      </c>
      <c r="C212" s="31" t="s">
        <v>592</v>
      </c>
      <c r="D212" s="49" t="s">
        <v>593</v>
      </c>
      <c r="E212" s="38" t="s">
        <v>594</v>
      </c>
      <c r="F212" s="76" t="s">
        <v>595</v>
      </c>
      <c r="G212" s="484"/>
    </row>
    <row r="213" spans="1:9" ht="43.5">
      <c r="A213" s="101"/>
      <c r="B213" s="444" t="s">
        <v>596</v>
      </c>
      <c r="C213" s="31" t="s">
        <v>597</v>
      </c>
      <c r="D213" s="49" t="s">
        <v>598</v>
      </c>
      <c r="E213" s="468" t="s">
        <v>599</v>
      </c>
      <c r="F213" s="519" t="s">
        <v>600</v>
      </c>
      <c r="G213" s="484"/>
    </row>
    <row r="214" spans="1:9">
      <c r="A214" s="101"/>
      <c r="B214" s="445"/>
      <c r="C214" s="31" t="s">
        <v>601</v>
      </c>
      <c r="D214" s="51" t="s">
        <v>600</v>
      </c>
      <c r="E214" s="465"/>
      <c r="F214" s="520"/>
      <c r="G214" s="484"/>
    </row>
    <row r="215" spans="1:9" ht="43.5">
      <c r="A215" s="101"/>
      <c r="B215" s="445"/>
      <c r="C215" s="31" t="s">
        <v>602</v>
      </c>
      <c r="D215" s="49" t="s">
        <v>603</v>
      </c>
      <c r="E215" s="468" t="s">
        <v>604</v>
      </c>
      <c r="F215" s="519" t="s">
        <v>605</v>
      </c>
      <c r="G215" s="484"/>
    </row>
    <row r="216" spans="1:9">
      <c r="A216" s="101"/>
      <c r="B216" s="445"/>
      <c r="C216" s="31" t="s">
        <v>601</v>
      </c>
      <c r="D216" s="51" t="s">
        <v>600</v>
      </c>
      <c r="E216" s="465"/>
      <c r="F216" s="520"/>
      <c r="G216" s="484"/>
    </row>
    <row r="217" spans="1:9" ht="31.25" customHeight="1">
      <c r="A217" s="102"/>
      <c r="B217" s="446" t="s">
        <v>606</v>
      </c>
      <c r="C217" s="31" t="s">
        <v>607</v>
      </c>
      <c r="D217" s="49" t="s">
        <v>608</v>
      </c>
      <c r="E217" s="468" t="s">
        <v>609</v>
      </c>
      <c r="F217" s="521" t="s">
        <v>610</v>
      </c>
      <c r="G217" s="484"/>
    </row>
    <row r="218" spans="1:9" ht="25.25" customHeight="1">
      <c r="A218" s="102"/>
      <c r="B218" s="445"/>
      <c r="C218" s="31" t="s">
        <v>611</v>
      </c>
      <c r="D218" s="49" t="s">
        <v>612</v>
      </c>
      <c r="E218" s="467"/>
      <c r="F218" s="522"/>
      <c r="G218" s="484"/>
    </row>
    <row r="219" spans="1:9" ht="24" customHeight="1">
      <c r="A219" s="102"/>
      <c r="B219" s="445"/>
      <c r="C219" s="31" t="s">
        <v>613</v>
      </c>
      <c r="D219" s="49" t="s">
        <v>614</v>
      </c>
      <c r="E219" s="456"/>
      <c r="F219" s="523"/>
      <c r="G219" s="484"/>
    </row>
    <row r="220" spans="1:9" ht="43.5">
      <c r="A220" s="102"/>
      <c r="B220" s="445"/>
      <c r="C220" s="67" t="s">
        <v>446</v>
      </c>
      <c r="D220" s="49" t="s">
        <v>615</v>
      </c>
      <c r="E220" s="37" t="s">
        <v>616</v>
      </c>
      <c r="F220" s="76" t="s">
        <v>617</v>
      </c>
      <c r="G220" s="484"/>
    </row>
    <row r="221" spans="1:9" ht="29">
      <c r="A221" s="102"/>
      <c r="B221" s="72" t="s">
        <v>618</v>
      </c>
      <c r="C221" s="31" t="s">
        <v>55</v>
      </c>
      <c r="D221" s="51" t="s">
        <v>619</v>
      </c>
      <c r="E221" s="37" t="s">
        <v>620</v>
      </c>
      <c r="F221" s="76" t="s">
        <v>621</v>
      </c>
      <c r="G221" s="485"/>
    </row>
    <row r="222" spans="1:9">
      <c r="B222" s="26" t="s">
        <v>622</v>
      </c>
      <c r="C222" s="27"/>
      <c r="D222" s="27"/>
      <c r="E222" s="27"/>
      <c r="F222" s="477"/>
      <c r="G222" s="472"/>
      <c r="I222" t="s">
        <v>3</v>
      </c>
    </row>
    <row r="223" spans="1:9" ht="15" customHeight="1">
      <c r="B223" s="511" t="s">
        <v>623</v>
      </c>
      <c r="C223" s="512"/>
      <c r="D223" s="512"/>
      <c r="E223" s="512"/>
      <c r="F223" s="512"/>
      <c r="G223" s="513"/>
    </row>
    <row r="224" spans="1:9" ht="34.25" customHeight="1">
      <c r="A224" s="9"/>
      <c r="B224" s="501" t="s">
        <v>624</v>
      </c>
      <c r="C224" s="11" t="s">
        <v>625</v>
      </c>
      <c r="D224" s="69" t="s">
        <v>626</v>
      </c>
      <c r="E224" s="514" t="s">
        <v>627</v>
      </c>
      <c r="F224" s="494" t="s">
        <v>627</v>
      </c>
      <c r="G224" s="481" t="s">
        <v>628</v>
      </c>
    </row>
    <row r="225" spans="1:12" ht="17" customHeight="1">
      <c r="A225" s="9"/>
      <c r="B225" s="445"/>
      <c r="C225" s="14" t="s">
        <v>629</v>
      </c>
      <c r="D225" s="69" t="s">
        <v>630</v>
      </c>
      <c r="E225" s="515"/>
      <c r="F225" s="490"/>
      <c r="G225" s="516"/>
    </row>
    <row r="226" spans="1:12" ht="34.25" customHeight="1">
      <c r="A226" s="9"/>
      <c r="B226" s="445"/>
      <c r="C226" s="15" t="s">
        <v>631</v>
      </c>
      <c r="D226" s="69" t="s">
        <v>632</v>
      </c>
      <c r="E226" s="57" t="s">
        <v>633</v>
      </c>
      <c r="F226" s="86" t="s">
        <v>633</v>
      </c>
      <c r="G226" s="516"/>
    </row>
    <row r="227" spans="1:12" ht="32" customHeight="1">
      <c r="A227" s="9"/>
      <c r="B227" s="445"/>
      <c r="C227" s="16" t="s">
        <v>634</v>
      </c>
      <c r="D227" s="54" t="s">
        <v>635</v>
      </c>
      <c r="E227" s="82" t="s">
        <v>635</v>
      </c>
      <c r="F227" s="78" t="s">
        <v>635</v>
      </c>
      <c r="G227" s="516"/>
    </row>
    <row r="228" spans="1:12" ht="17" customHeight="1">
      <c r="A228" s="9"/>
      <c r="B228" s="445"/>
      <c r="C228" s="16" t="s">
        <v>636</v>
      </c>
      <c r="D228" s="61" t="s">
        <v>637</v>
      </c>
      <c r="E228" s="58" t="s">
        <v>637</v>
      </c>
      <c r="F228" s="86" t="s">
        <v>637</v>
      </c>
      <c r="G228" s="516"/>
    </row>
    <row r="229" spans="1:12" ht="30" customHeight="1">
      <c r="A229" s="9"/>
      <c r="B229" s="501" t="s">
        <v>638</v>
      </c>
      <c r="C229" s="17" t="s">
        <v>639</v>
      </c>
      <c r="D229" s="502" t="s">
        <v>640</v>
      </c>
      <c r="E229" s="514" t="s">
        <v>640</v>
      </c>
      <c r="F229" s="494" t="s">
        <v>640</v>
      </c>
      <c r="G229" s="516"/>
    </row>
    <row r="230" spans="1:12" ht="30" customHeight="1">
      <c r="A230" s="9"/>
      <c r="B230" s="445"/>
      <c r="C230" s="17" t="s">
        <v>641</v>
      </c>
      <c r="D230" s="456"/>
      <c r="E230" s="518"/>
      <c r="F230" s="470"/>
      <c r="G230" s="516"/>
    </row>
    <row r="231" spans="1:12" ht="34.25" customHeight="1">
      <c r="A231" s="9"/>
      <c r="B231" s="501" t="s">
        <v>642</v>
      </c>
      <c r="C231" s="17" t="s">
        <v>643</v>
      </c>
      <c r="D231" s="54" t="s">
        <v>644</v>
      </c>
      <c r="E231" s="82" t="s">
        <v>645</v>
      </c>
      <c r="F231" s="78" t="s">
        <v>646</v>
      </c>
      <c r="G231" s="516"/>
    </row>
    <row r="232" spans="1:12" ht="30" customHeight="1">
      <c r="A232" s="9"/>
      <c r="B232" s="445"/>
      <c r="C232" s="17" t="s">
        <v>647</v>
      </c>
      <c r="D232" s="61" t="s">
        <v>648</v>
      </c>
      <c r="E232" s="82" t="s">
        <v>649</v>
      </c>
      <c r="F232" s="78" t="s">
        <v>649</v>
      </c>
      <c r="G232" s="516"/>
    </row>
    <row r="233" spans="1:12" ht="17" customHeight="1">
      <c r="A233" s="9"/>
      <c r="B233" s="445"/>
      <c r="C233" s="17" t="s">
        <v>650</v>
      </c>
      <c r="D233" s="61" t="s">
        <v>651</v>
      </c>
      <c r="E233" s="58" t="s">
        <v>651</v>
      </c>
      <c r="F233" s="86" t="s">
        <v>651</v>
      </c>
      <c r="G233" s="516"/>
    </row>
    <row r="234" spans="1:12" ht="17" customHeight="1">
      <c r="A234" s="9"/>
      <c r="B234" s="445"/>
      <c r="C234" s="17" t="s">
        <v>652</v>
      </c>
      <c r="D234" s="61" t="s">
        <v>653</v>
      </c>
      <c r="E234" s="58" t="s">
        <v>653</v>
      </c>
      <c r="F234" s="86" t="s">
        <v>653</v>
      </c>
      <c r="G234" s="516"/>
    </row>
    <row r="235" spans="1:12" ht="30" customHeight="1">
      <c r="A235" s="9"/>
      <c r="B235" s="501" t="s">
        <v>654</v>
      </c>
      <c r="C235" s="11" t="s">
        <v>655</v>
      </c>
      <c r="D235" s="69" t="s">
        <v>656</v>
      </c>
      <c r="E235" s="57" t="s">
        <v>656</v>
      </c>
      <c r="F235" s="86" t="s">
        <v>656</v>
      </c>
      <c r="G235" s="516"/>
    </row>
    <row r="236" spans="1:12" ht="30" customHeight="1">
      <c r="A236" s="9"/>
      <c r="B236" s="445"/>
      <c r="C236" s="11" t="s">
        <v>657</v>
      </c>
      <c r="D236" s="69" t="s">
        <v>658</v>
      </c>
      <c r="E236" s="57" t="s">
        <v>658</v>
      </c>
      <c r="F236" s="86" t="s">
        <v>658</v>
      </c>
      <c r="G236" s="516"/>
    </row>
    <row r="237" spans="1:12" ht="30" customHeight="1">
      <c r="A237" s="9"/>
      <c r="B237" s="445"/>
      <c r="C237" s="11" t="s">
        <v>659</v>
      </c>
      <c r="D237" s="69" t="s">
        <v>660</v>
      </c>
      <c r="E237" s="57" t="s">
        <v>660</v>
      </c>
      <c r="F237" s="86" t="s">
        <v>660</v>
      </c>
      <c r="G237" s="517"/>
    </row>
    <row r="238" spans="1:12" ht="16.25" customHeight="1">
      <c r="B238" s="26" t="s">
        <v>661</v>
      </c>
      <c r="C238" s="23"/>
      <c r="D238" s="24"/>
      <c r="E238" s="25"/>
      <c r="F238" s="503"/>
      <c r="G238" s="504"/>
    </row>
    <row r="239" spans="1:12">
      <c r="A239" s="9"/>
      <c r="B239" s="505" t="s">
        <v>662</v>
      </c>
      <c r="C239" s="506"/>
      <c r="D239" s="506"/>
      <c r="E239" s="506"/>
      <c r="F239" s="506"/>
      <c r="G239" s="28"/>
    </row>
    <row r="240" spans="1:12" s="5" customFormat="1" ht="17" customHeight="1">
      <c r="A240" s="8"/>
      <c r="B240" s="444" t="s">
        <v>663</v>
      </c>
      <c r="C240" s="33" t="s">
        <v>664</v>
      </c>
      <c r="D240" s="48" t="s">
        <v>665</v>
      </c>
      <c r="E240" s="38" t="s">
        <v>666</v>
      </c>
      <c r="F240" s="83" t="s">
        <v>666</v>
      </c>
      <c r="G240" s="481" t="s">
        <v>667</v>
      </c>
      <c r="H240"/>
      <c r="K240" s="174"/>
      <c r="L240" s="174"/>
    </row>
    <row r="241" spans="1:7" ht="29">
      <c r="A241" s="9"/>
      <c r="B241" s="507"/>
      <c r="C241" s="34" t="s">
        <v>668</v>
      </c>
      <c r="D241" s="49" t="s">
        <v>669</v>
      </c>
      <c r="E241" s="37" t="s">
        <v>670</v>
      </c>
      <c r="F241" s="78" t="s">
        <v>671</v>
      </c>
      <c r="G241" s="482"/>
    </row>
    <row r="242" spans="1:7" ht="32" customHeight="1">
      <c r="A242" s="9"/>
      <c r="B242" s="444" t="s">
        <v>672</v>
      </c>
      <c r="C242" s="33" t="s">
        <v>673</v>
      </c>
      <c r="D242" s="49" t="s">
        <v>674</v>
      </c>
      <c r="E242" s="37" t="s">
        <v>675</v>
      </c>
      <c r="F242" s="78" t="s">
        <v>676</v>
      </c>
      <c r="G242" s="482"/>
    </row>
    <row r="243" spans="1:7">
      <c r="A243" s="9"/>
      <c r="B243" s="444"/>
      <c r="C243" s="33" t="s">
        <v>677</v>
      </c>
      <c r="D243" s="50" t="s">
        <v>678</v>
      </c>
      <c r="E243" s="37" t="s">
        <v>679</v>
      </c>
      <c r="F243" s="84" t="s">
        <v>680</v>
      </c>
      <c r="G243" s="482"/>
    </row>
    <row r="244" spans="1:7" ht="16.25" customHeight="1">
      <c r="A244" s="9"/>
      <c r="B244" s="444"/>
      <c r="C244" s="33" t="s">
        <v>681</v>
      </c>
      <c r="D244" s="50" t="s">
        <v>682</v>
      </c>
      <c r="E244" s="37" t="s">
        <v>683</v>
      </c>
      <c r="F244" s="84" t="s">
        <v>684</v>
      </c>
      <c r="G244" s="482"/>
    </row>
    <row r="245" spans="1:7" ht="15" customHeight="1">
      <c r="A245" s="9"/>
      <c r="B245" s="444"/>
      <c r="C245" s="33" t="s">
        <v>685</v>
      </c>
      <c r="D245" s="51" t="s">
        <v>686</v>
      </c>
      <c r="E245" s="37" t="s">
        <v>687</v>
      </c>
      <c r="F245" s="84" t="s">
        <v>688</v>
      </c>
      <c r="G245" s="482"/>
    </row>
    <row r="246" spans="1:7" ht="29">
      <c r="A246" s="9"/>
      <c r="B246" s="444"/>
      <c r="C246" s="34" t="s">
        <v>689</v>
      </c>
      <c r="D246" s="49" t="s">
        <v>690</v>
      </c>
      <c r="E246" s="37" t="s">
        <v>691</v>
      </c>
      <c r="F246" s="78" t="s">
        <v>691</v>
      </c>
      <c r="G246" s="482"/>
    </row>
    <row r="247" spans="1:7" ht="29">
      <c r="A247" s="9"/>
      <c r="B247" s="446" t="s">
        <v>692</v>
      </c>
      <c r="C247" s="34" t="s">
        <v>693</v>
      </c>
      <c r="D247" s="49" t="s">
        <v>694</v>
      </c>
      <c r="E247" s="37" t="s">
        <v>695</v>
      </c>
      <c r="F247" s="86" t="s">
        <v>696</v>
      </c>
      <c r="G247" s="482"/>
    </row>
    <row r="248" spans="1:7" ht="43.5">
      <c r="A248" s="9"/>
      <c r="B248" s="446"/>
      <c r="C248" s="34" t="s">
        <v>697</v>
      </c>
      <c r="D248" s="49" t="s">
        <v>698</v>
      </c>
      <c r="E248" s="37" t="s">
        <v>699</v>
      </c>
      <c r="F248" s="85" t="s">
        <v>700</v>
      </c>
      <c r="G248" s="482"/>
    </row>
    <row r="249" spans="1:7" ht="29">
      <c r="A249" s="9"/>
      <c r="B249" s="446"/>
      <c r="C249" s="34" t="s">
        <v>82</v>
      </c>
      <c r="D249" s="52" t="s">
        <v>701</v>
      </c>
      <c r="E249" s="37" t="s">
        <v>702</v>
      </c>
      <c r="F249" s="85" t="s">
        <v>702</v>
      </c>
      <c r="G249" s="482"/>
    </row>
    <row r="250" spans="1:7" ht="29">
      <c r="A250" s="9"/>
      <c r="B250" s="446"/>
      <c r="C250" s="34" t="s">
        <v>703</v>
      </c>
      <c r="D250" s="49" t="s">
        <v>704</v>
      </c>
      <c r="E250" s="37" t="s">
        <v>705</v>
      </c>
      <c r="F250" s="93" t="s">
        <v>705</v>
      </c>
      <c r="G250" s="482"/>
    </row>
    <row r="251" spans="1:7" ht="29">
      <c r="A251" s="9"/>
      <c r="B251" s="446"/>
      <c r="C251" s="34" t="s">
        <v>706</v>
      </c>
      <c r="D251" s="52" t="s">
        <v>707</v>
      </c>
      <c r="E251" s="37" t="s">
        <v>708</v>
      </c>
      <c r="F251" s="85" t="s">
        <v>709</v>
      </c>
      <c r="G251" s="482"/>
    </row>
    <row r="252" spans="1:7" ht="29">
      <c r="A252" s="9"/>
      <c r="B252" s="446"/>
      <c r="C252" s="34" t="s">
        <v>710</v>
      </c>
      <c r="D252" s="51"/>
      <c r="E252" s="37" t="s">
        <v>711</v>
      </c>
      <c r="F252" s="85" t="s">
        <v>712</v>
      </c>
      <c r="G252" s="483"/>
    </row>
  </sheetData>
  <mergeCells count="198">
    <mergeCell ref="B3:H3"/>
    <mergeCell ref="B1:H1"/>
    <mergeCell ref="B2:H2"/>
    <mergeCell ref="B86:B89"/>
    <mergeCell ref="B90:B91"/>
    <mergeCell ref="D88:D89"/>
    <mergeCell ref="B84:G84"/>
    <mergeCell ref="B85:G85"/>
    <mergeCell ref="G86:G96"/>
    <mergeCell ref="D36:F36"/>
    <mergeCell ref="G58:G60"/>
    <mergeCell ref="B61:G61"/>
    <mergeCell ref="G73:G79"/>
    <mergeCell ref="B81:G81"/>
    <mergeCell ref="D80:G80"/>
    <mergeCell ref="F72:G72"/>
    <mergeCell ref="F71:G71"/>
    <mergeCell ref="D82:D83"/>
    <mergeCell ref="G82:G83"/>
    <mergeCell ref="B63:B65"/>
    <mergeCell ref="B82:B83"/>
    <mergeCell ref="E9:G9"/>
    <mergeCell ref="G10:G28"/>
    <mergeCell ref="E88:E89"/>
    <mergeCell ref="F88:F89"/>
    <mergeCell ref="F41:F43"/>
    <mergeCell ref="F44:F46"/>
    <mergeCell ref="G35:G46"/>
    <mergeCell ref="F34:G34"/>
    <mergeCell ref="E50:E51"/>
    <mergeCell ref="F49:F57"/>
    <mergeCell ref="G49:G57"/>
    <mergeCell ref="B48:G48"/>
    <mergeCell ref="B47:G47"/>
    <mergeCell ref="F58:F60"/>
    <mergeCell ref="F38:F40"/>
    <mergeCell ref="E41:E42"/>
    <mergeCell ref="E44:E45"/>
    <mergeCell ref="E63:E64"/>
    <mergeCell ref="F63:F64"/>
    <mergeCell ref="B10:B17"/>
    <mergeCell ref="B18:B22"/>
    <mergeCell ref="B23:B28"/>
    <mergeCell ref="D15:D16"/>
    <mergeCell ref="D10:D11"/>
    <mergeCell ref="D20:D21"/>
    <mergeCell ref="D31:D32"/>
    <mergeCell ref="B7:G7"/>
    <mergeCell ref="F33:G33"/>
    <mergeCell ref="F10:F11"/>
    <mergeCell ref="F15:F16"/>
    <mergeCell ref="F20:F21"/>
    <mergeCell ref="B169:G169"/>
    <mergeCell ref="B100:B102"/>
    <mergeCell ref="E104:E105"/>
    <mergeCell ref="E10:E11"/>
    <mergeCell ref="E15:E16"/>
    <mergeCell ref="E20:E21"/>
    <mergeCell ref="B49:B54"/>
    <mergeCell ref="B55:B57"/>
    <mergeCell ref="B58:B60"/>
    <mergeCell ref="D59:D60"/>
    <mergeCell ref="D44:D45"/>
    <mergeCell ref="B44:B46"/>
    <mergeCell ref="B35:B37"/>
    <mergeCell ref="D38:D40"/>
    <mergeCell ref="B38:B40"/>
    <mergeCell ref="B41:B42"/>
    <mergeCell ref="D41:D42"/>
    <mergeCell ref="B34:C34"/>
    <mergeCell ref="D101:D102"/>
    <mergeCell ref="G100:G102"/>
    <mergeCell ref="D103:D105"/>
    <mergeCell ref="F104:F105"/>
    <mergeCell ref="G103:G124"/>
    <mergeCell ref="B92:B96"/>
    <mergeCell ref="B190:G190"/>
    <mergeCell ref="B191:C191"/>
    <mergeCell ref="F191:G191"/>
    <mergeCell ref="B192:C192"/>
    <mergeCell ref="E192:G192"/>
    <mergeCell ref="B193:B203"/>
    <mergeCell ref="G193:G203"/>
    <mergeCell ref="B99:G99"/>
    <mergeCell ref="B126:G126"/>
    <mergeCell ref="D170:D171"/>
    <mergeCell ref="D173:D174"/>
    <mergeCell ref="E132:E133"/>
    <mergeCell ref="F132:F133"/>
    <mergeCell ref="E137:E138"/>
    <mergeCell ref="F137:F138"/>
    <mergeCell ref="E140:E141"/>
    <mergeCell ref="F140:F141"/>
    <mergeCell ref="E143:E144"/>
    <mergeCell ref="F143:F144"/>
    <mergeCell ref="E145:E146"/>
    <mergeCell ref="F145:F146"/>
    <mergeCell ref="G127:G147"/>
    <mergeCell ref="D137:D138"/>
    <mergeCell ref="D140:D141"/>
    <mergeCell ref="B204:B211"/>
    <mergeCell ref="G204:G221"/>
    <mergeCell ref="B213:B216"/>
    <mergeCell ref="E213:E214"/>
    <mergeCell ref="F213:F214"/>
    <mergeCell ref="E215:E216"/>
    <mergeCell ref="F215:F216"/>
    <mergeCell ref="B217:B220"/>
    <mergeCell ref="E217:E219"/>
    <mergeCell ref="F217:F219"/>
    <mergeCell ref="F222:G222"/>
    <mergeCell ref="B223:G223"/>
    <mergeCell ref="B224:B228"/>
    <mergeCell ref="E224:E225"/>
    <mergeCell ref="F224:F225"/>
    <mergeCell ref="G224:G237"/>
    <mergeCell ref="B229:B230"/>
    <mergeCell ref="D229:D230"/>
    <mergeCell ref="E229:E230"/>
    <mergeCell ref="F229:F230"/>
    <mergeCell ref="B231:B234"/>
    <mergeCell ref="B235:B237"/>
    <mergeCell ref="F238:G238"/>
    <mergeCell ref="B239:F239"/>
    <mergeCell ref="B240:B241"/>
    <mergeCell ref="G240:G252"/>
    <mergeCell ref="B242:B246"/>
    <mergeCell ref="B247:B252"/>
    <mergeCell ref="B149:F149"/>
    <mergeCell ref="B150:B151"/>
    <mergeCell ref="F150:F151"/>
    <mergeCell ref="G150:G153"/>
    <mergeCell ref="B152:B153"/>
    <mergeCell ref="F152:F153"/>
    <mergeCell ref="B154:B155"/>
    <mergeCell ref="F154:F155"/>
    <mergeCell ref="G154:G157"/>
    <mergeCell ref="B156:B159"/>
    <mergeCell ref="F156:F157"/>
    <mergeCell ref="G158:G159"/>
    <mergeCell ref="B160:B164"/>
    <mergeCell ref="D160:D161"/>
    <mergeCell ref="E160:E161"/>
    <mergeCell ref="F160:F161"/>
    <mergeCell ref="G160:G167"/>
    <mergeCell ref="D162:D163"/>
    <mergeCell ref="F98:G98"/>
    <mergeCell ref="B97:G97"/>
    <mergeCell ref="G170:G181"/>
    <mergeCell ref="E58:E60"/>
    <mergeCell ref="D75:D76"/>
    <mergeCell ref="E75:E76"/>
    <mergeCell ref="F75:F76"/>
    <mergeCell ref="D77:D78"/>
    <mergeCell ref="E77:E78"/>
    <mergeCell ref="F77:F78"/>
    <mergeCell ref="B73:B76"/>
    <mergeCell ref="B77:B79"/>
    <mergeCell ref="E66:E67"/>
    <mergeCell ref="F66:F67"/>
    <mergeCell ref="G63:G70"/>
    <mergeCell ref="F165:F167"/>
    <mergeCell ref="D177:D178"/>
    <mergeCell ref="D179:D180"/>
    <mergeCell ref="B170:B181"/>
    <mergeCell ref="D143:D144"/>
    <mergeCell ref="D145:D146"/>
    <mergeCell ref="B66:B68"/>
    <mergeCell ref="D66:D67"/>
    <mergeCell ref="D63:D64"/>
    <mergeCell ref="E184:E185"/>
    <mergeCell ref="F184:F185"/>
    <mergeCell ref="F188:F189"/>
    <mergeCell ref="B182:G182"/>
    <mergeCell ref="G184:G189"/>
    <mergeCell ref="B183:G183"/>
    <mergeCell ref="B184:B186"/>
    <mergeCell ref="B187:B189"/>
    <mergeCell ref="D188:D189"/>
    <mergeCell ref="B145:B147"/>
    <mergeCell ref="B128:B144"/>
    <mergeCell ref="F162:F164"/>
    <mergeCell ref="B165:B167"/>
    <mergeCell ref="D165:D166"/>
    <mergeCell ref="D118:D119"/>
    <mergeCell ref="B103:B119"/>
    <mergeCell ref="B120:B121"/>
    <mergeCell ref="D106:D107"/>
    <mergeCell ref="B148:G148"/>
    <mergeCell ref="E106:E107"/>
    <mergeCell ref="D114:D115"/>
    <mergeCell ref="D116:D117"/>
    <mergeCell ref="F106:F107"/>
    <mergeCell ref="D108:D109"/>
    <mergeCell ref="D110:D111"/>
    <mergeCell ref="D112:D113"/>
    <mergeCell ref="D120:D121"/>
    <mergeCell ref="B122:B12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425A0-ED96-4FD8-A691-EE0FA3597C5B}">
  <dimension ref="A1:I248"/>
  <sheetViews>
    <sheetView showGridLines="0" topLeftCell="A142" zoomScaleNormal="100" workbookViewId="0">
      <selection activeCell="D146" sqref="D146:D163"/>
    </sheetView>
  </sheetViews>
  <sheetFormatPr baseColWidth="10" defaultColWidth="11.453125" defaultRowHeight="14.5"/>
  <cols>
    <col min="1" max="1" width="3.36328125" customWidth="1"/>
    <col min="2" max="2" width="16.54296875" style="169" customWidth="1"/>
    <col min="3" max="3" width="56.453125" customWidth="1"/>
    <col min="4" max="4" width="48.54296875" customWidth="1"/>
    <col min="5" max="5" width="64" style="135" customWidth="1"/>
    <col min="6" max="7" width="67.36328125" style="135" customWidth="1"/>
    <col min="8" max="8" width="48.6328125" customWidth="1"/>
  </cols>
  <sheetData>
    <row r="1" spans="2:8" s="134" customFormat="1" ht="27.5">
      <c r="B1" s="168"/>
      <c r="C1" s="600" t="s">
        <v>0</v>
      </c>
      <c r="D1" s="600"/>
      <c r="E1" s="600"/>
      <c r="F1" s="600"/>
      <c r="G1" s="600"/>
      <c r="H1" s="600"/>
    </row>
    <row r="2" spans="2:8" s="134" customFormat="1" ht="18">
      <c r="B2" s="168"/>
      <c r="C2" s="601" t="s">
        <v>713</v>
      </c>
      <c r="D2" s="602"/>
      <c r="E2" s="602"/>
      <c r="F2" s="602"/>
      <c r="G2" s="602"/>
      <c r="H2" s="602"/>
    </row>
    <row r="3" spans="2:8">
      <c r="C3" s="506" t="s">
        <v>2</v>
      </c>
      <c r="D3" s="541"/>
      <c r="E3" s="541"/>
      <c r="F3" s="541"/>
      <c r="G3" s="541"/>
      <c r="H3" s="541"/>
    </row>
    <row r="4" spans="2:8" s="142" customFormat="1">
      <c r="B4" s="170"/>
      <c r="D4" s="142" t="s">
        <v>3</v>
      </c>
      <c r="E4" s="140" t="s">
        <v>4</v>
      </c>
      <c r="F4" s="140" t="s">
        <v>5</v>
      </c>
      <c r="G4" s="140" t="s">
        <v>6</v>
      </c>
      <c r="H4" s="141" t="s">
        <v>7</v>
      </c>
    </row>
    <row r="5" spans="2:8" s="142" customFormat="1">
      <c r="B5" s="170"/>
      <c r="E5" s="143"/>
      <c r="F5" s="143"/>
      <c r="G5" s="143"/>
      <c r="H5" s="141"/>
    </row>
    <row r="6" spans="2:8" s="141" customFormat="1" ht="32.25" customHeight="1">
      <c r="B6" s="171"/>
      <c r="C6" s="144" t="s">
        <v>8</v>
      </c>
      <c r="D6" s="145" t="s">
        <v>9</v>
      </c>
      <c r="E6" s="145" t="s">
        <v>10</v>
      </c>
      <c r="F6" s="145" t="s">
        <v>11</v>
      </c>
      <c r="G6" s="145" t="s">
        <v>12</v>
      </c>
      <c r="H6" s="144" t="s">
        <v>13</v>
      </c>
    </row>
    <row r="7" spans="2:8">
      <c r="C7" s="547" t="s">
        <v>18</v>
      </c>
      <c r="D7" s="548"/>
      <c r="E7" s="548"/>
      <c r="F7" s="548"/>
      <c r="G7" s="548"/>
      <c r="H7" s="548"/>
    </row>
    <row r="8" spans="2:8">
      <c r="C8" s="146" t="s">
        <v>19</v>
      </c>
      <c r="D8" s="147"/>
      <c r="E8" s="148"/>
      <c r="F8" s="148"/>
      <c r="G8" s="148"/>
      <c r="H8" s="149"/>
    </row>
    <row r="9" spans="2:8">
      <c r="C9" s="62" t="s">
        <v>20</v>
      </c>
      <c r="D9" s="63"/>
      <c r="E9" s="136"/>
      <c r="F9" s="587" t="s">
        <v>3</v>
      </c>
      <c r="G9" s="447"/>
      <c r="H9" s="447"/>
    </row>
    <row r="10" spans="2:8">
      <c r="B10" s="575" t="s">
        <v>714</v>
      </c>
      <c r="C10" s="444" t="s">
        <v>21</v>
      </c>
      <c r="D10" s="72" t="s">
        <v>22</v>
      </c>
      <c r="E10" s="501" t="s">
        <v>23</v>
      </c>
      <c r="F10" s="501" t="s">
        <v>24</v>
      </c>
      <c r="G10" s="334"/>
      <c r="H10" s="501" t="s">
        <v>26</v>
      </c>
    </row>
    <row r="11" spans="2:8">
      <c r="B11" s="575"/>
      <c r="C11" s="444"/>
      <c r="D11" s="72" t="s">
        <v>27</v>
      </c>
      <c r="E11" s="501"/>
      <c r="F11" s="501"/>
      <c r="G11" s="334"/>
      <c r="H11" s="501"/>
    </row>
    <row r="12" spans="2:8" ht="29">
      <c r="B12" s="575"/>
      <c r="C12" s="444"/>
      <c r="D12" s="72" t="s">
        <v>28</v>
      </c>
      <c r="E12" s="10" t="s">
        <v>29</v>
      </c>
      <c r="F12" s="18"/>
      <c r="G12" s="10"/>
      <c r="H12" s="501"/>
    </row>
    <row r="13" spans="2:8" ht="29">
      <c r="B13" s="575"/>
      <c r="C13" s="444"/>
      <c r="D13" s="72" t="s">
        <v>32</v>
      </c>
      <c r="E13" s="10" t="s">
        <v>33</v>
      </c>
      <c r="F13" s="18"/>
      <c r="G13" s="10"/>
      <c r="H13" s="501"/>
    </row>
    <row r="14" spans="2:8" ht="43.5">
      <c r="B14" s="575"/>
      <c r="C14" s="444"/>
      <c r="D14" s="72" t="s">
        <v>36</v>
      </c>
      <c r="E14" s="10" t="s">
        <v>37</v>
      </c>
      <c r="F14" s="18" t="s">
        <v>38</v>
      </c>
      <c r="G14" s="10" t="s">
        <v>39</v>
      </c>
      <c r="H14" s="501"/>
    </row>
    <row r="15" spans="2:8">
      <c r="B15" s="575"/>
      <c r="C15" s="444"/>
      <c r="D15" s="72" t="s">
        <v>40</v>
      </c>
      <c r="E15" s="501" t="s">
        <v>41</v>
      </c>
      <c r="F15" s="598" t="s">
        <v>42</v>
      </c>
      <c r="G15" s="501"/>
      <c r="H15" s="501"/>
    </row>
    <row r="16" spans="2:8">
      <c r="B16" s="575"/>
      <c r="C16" s="444"/>
      <c r="D16" s="72" t="s">
        <v>43</v>
      </c>
      <c r="E16" s="501"/>
      <c r="F16" s="598"/>
      <c r="G16" s="501"/>
      <c r="H16" s="501"/>
    </row>
    <row r="17" spans="2:8" ht="29">
      <c r="B17" s="575"/>
      <c r="C17" s="444"/>
      <c r="D17" s="72" t="s">
        <v>44</v>
      </c>
      <c r="E17" s="10" t="s">
        <v>45</v>
      </c>
      <c r="F17" s="10" t="s">
        <v>46</v>
      </c>
      <c r="G17" s="10" t="s">
        <v>47</v>
      </c>
      <c r="H17" s="501"/>
    </row>
    <row r="18" spans="2:8" ht="29">
      <c r="B18" s="575"/>
      <c r="C18" s="444" t="s">
        <v>48</v>
      </c>
      <c r="D18" s="72" t="s">
        <v>49</v>
      </c>
      <c r="E18" s="10" t="s">
        <v>50</v>
      </c>
      <c r="F18" s="18" t="s">
        <v>51</v>
      </c>
      <c r="G18" s="10"/>
      <c r="H18" s="501"/>
    </row>
    <row r="19" spans="2:8" ht="29">
      <c r="B19" s="575"/>
      <c r="C19" s="444"/>
      <c r="D19" s="72" t="s">
        <v>52</v>
      </c>
      <c r="E19" s="10" t="s">
        <v>53</v>
      </c>
      <c r="F19" s="18" t="s">
        <v>54</v>
      </c>
      <c r="G19" s="10"/>
      <c r="H19" s="501"/>
    </row>
    <row r="20" spans="2:8">
      <c r="B20" s="575"/>
      <c r="C20" s="444"/>
      <c r="D20" s="72" t="s">
        <v>55</v>
      </c>
      <c r="E20" s="501" t="s">
        <v>56</v>
      </c>
      <c r="F20" s="598" t="s">
        <v>57</v>
      </c>
      <c r="G20" s="501" t="s">
        <v>58</v>
      </c>
      <c r="H20" s="501"/>
    </row>
    <row r="21" spans="2:8">
      <c r="B21" s="575"/>
      <c r="C21" s="444"/>
      <c r="D21" s="72" t="s">
        <v>59</v>
      </c>
      <c r="E21" s="501"/>
      <c r="F21" s="598"/>
      <c r="G21" s="501"/>
      <c r="H21" s="501"/>
    </row>
    <row r="22" spans="2:8" ht="29">
      <c r="B22" s="575"/>
      <c r="C22" s="444"/>
      <c r="D22" s="72" t="s">
        <v>60</v>
      </c>
      <c r="E22" s="10" t="s">
        <v>61</v>
      </c>
      <c r="F22" s="18" t="s">
        <v>62</v>
      </c>
      <c r="G22" s="10"/>
      <c r="H22" s="501"/>
    </row>
    <row r="23" spans="2:8" ht="29">
      <c r="B23" s="575"/>
      <c r="C23" s="444" t="s">
        <v>63</v>
      </c>
      <c r="D23" s="72" t="s">
        <v>64</v>
      </c>
      <c r="E23" s="10" t="s">
        <v>65</v>
      </c>
      <c r="F23" s="18" t="s">
        <v>66</v>
      </c>
      <c r="G23" s="10"/>
      <c r="H23" s="501"/>
    </row>
    <row r="24" spans="2:8" ht="29">
      <c r="B24" s="575"/>
      <c r="C24" s="445"/>
      <c r="D24" s="72" t="s">
        <v>67</v>
      </c>
      <c r="E24" s="10" t="s">
        <v>68</v>
      </c>
      <c r="F24" s="73" t="s">
        <v>69</v>
      </c>
      <c r="G24" s="10" t="s">
        <v>70</v>
      </c>
      <c r="H24" s="501"/>
    </row>
    <row r="25" spans="2:8" ht="29">
      <c r="B25" s="575"/>
      <c r="C25" s="445"/>
      <c r="D25" s="117" t="s">
        <v>71</v>
      </c>
      <c r="E25" s="10" t="s">
        <v>72</v>
      </c>
      <c r="F25" s="10" t="s">
        <v>73</v>
      </c>
      <c r="G25" s="10" t="s">
        <v>74</v>
      </c>
      <c r="H25" s="501"/>
    </row>
    <row r="26" spans="2:8">
      <c r="B26" s="575"/>
      <c r="C26" s="445"/>
      <c r="D26" s="116" t="s">
        <v>75</v>
      </c>
      <c r="E26" s="10" t="s">
        <v>76</v>
      </c>
      <c r="F26" s="73" t="s">
        <v>77</v>
      </c>
      <c r="G26" s="10" t="s">
        <v>78</v>
      </c>
      <c r="H26" s="501"/>
    </row>
    <row r="27" spans="2:8" ht="43.5">
      <c r="B27" s="575"/>
      <c r="C27" s="445"/>
      <c r="D27" s="118" t="s">
        <v>79</v>
      </c>
      <c r="E27" s="10" t="s">
        <v>80</v>
      </c>
      <c r="F27" s="18" t="s">
        <v>81</v>
      </c>
      <c r="G27" s="10" t="s">
        <v>81</v>
      </c>
      <c r="H27" s="501"/>
    </row>
    <row r="28" spans="2:8" ht="29">
      <c r="B28" s="575"/>
      <c r="C28" s="445"/>
      <c r="D28" s="12" t="s">
        <v>82</v>
      </c>
      <c r="E28" s="73" t="s">
        <v>83</v>
      </c>
      <c r="F28" s="18" t="s">
        <v>83</v>
      </c>
      <c r="G28" s="10" t="s">
        <v>83</v>
      </c>
      <c r="H28" s="501"/>
    </row>
    <row r="29" spans="2:8">
      <c r="C29" s="150" t="s">
        <v>84</v>
      </c>
      <c r="D29" s="151"/>
      <c r="E29" s="148"/>
      <c r="F29" s="148"/>
      <c r="G29" s="592"/>
      <c r="H29" s="447"/>
    </row>
    <row r="30" spans="2:8">
      <c r="C30" s="583" t="s">
        <v>85</v>
      </c>
      <c r="D30" s="583"/>
      <c r="E30" s="153"/>
      <c r="F30" s="153"/>
      <c r="G30" s="593"/>
      <c r="H30" s="447"/>
    </row>
    <row r="31" spans="2:8" ht="343.5" customHeight="1">
      <c r="B31" s="575" t="s">
        <v>715</v>
      </c>
      <c r="C31" s="446" t="s">
        <v>86</v>
      </c>
      <c r="D31" s="30" t="s">
        <v>87</v>
      </c>
      <c r="E31" s="30" t="s">
        <v>88</v>
      </c>
      <c r="F31" s="30" t="s">
        <v>89</v>
      </c>
      <c r="G31" s="10" t="s">
        <v>90</v>
      </c>
      <c r="H31" s="501" t="s">
        <v>91</v>
      </c>
    </row>
    <row r="32" spans="2:8" ht="29">
      <c r="B32" s="575"/>
      <c r="C32" s="446"/>
      <c r="D32" s="30" t="s">
        <v>92</v>
      </c>
      <c r="E32" s="444" t="s">
        <v>93</v>
      </c>
      <c r="F32" s="501"/>
      <c r="G32" s="501"/>
      <c r="H32" s="501"/>
    </row>
    <row r="33" spans="1:8" ht="29">
      <c r="B33" s="575"/>
      <c r="C33" s="446"/>
      <c r="D33" s="72" t="s">
        <v>28</v>
      </c>
      <c r="E33" s="30" t="s">
        <v>94</v>
      </c>
      <c r="F33" s="30"/>
      <c r="G33" s="10"/>
      <c r="H33" s="501"/>
    </row>
    <row r="34" spans="1:8" ht="29">
      <c r="B34" s="575"/>
      <c r="C34" s="444" t="s">
        <v>95</v>
      </c>
      <c r="D34" s="72" t="s">
        <v>96</v>
      </c>
      <c r="E34" s="444" t="s">
        <v>97</v>
      </c>
      <c r="F34" s="30" t="s">
        <v>98</v>
      </c>
      <c r="G34" s="501" t="s">
        <v>99</v>
      </c>
      <c r="H34" s="501"/>
    </row>
    <row r="35" spans="1:8" ht="29">
      <c r="B35" s="575"/>
      <c r="C35" s="445"/>
      <c r="D35" s="72" t="s">
        <v>100</v>
      </c>
      <c r="E35" s="501"/>
      <c r="F35" s="30" t="s">
        <v>101</v>
      </c>
      <c r="G35" s="501"/>
      <c r="H35" s="501"/>
    </row>
    <row r="36" spans="1:8">
      <c r="B36" s="575"/>
      <c r="C36" s="445"/>
      <c r="D36" s="72" t="s">
        <v>102</v>
      </c>
      <c r="E36" s="501"/>
      <c r="F36" s="30" t="s">
        <v>103</v>
      </c>
      <c r="G36" s="501"/>
      <c r="H36" s="501"/>
    </row>
    <row r="37" spans="1:8">
      <c r="B37" s="575"/>
      <c r="C37" s="444" t="s">
        <v>104</v>
      </c>
      <c r="D37" s="72" t="s">
        <v>105</v>
      </c>
      <c r="E37" s="444" t="s">
        <v>106</v>
      </c>
      <c r="F37" s="444" t="s">
        <v>107</v>
      </c>
      <c r="G37" s="501" t="s">
        <v>108</v>
      </c>
      <c r="H37" s="501"/>
    </row>
    <row r="38" spans="1:8">
      <c r="B38" s="575"/>
      <c r="C38" s="445"/>
      <c r="D38" s="72" t="s">
        <v>109</v>
      </c>
      <c r="E38" s="501"/>
      <c r="F38" s="501"/>
      <c r="G38" s="501"/>
      <c r="H38" s="501"/>
    </row>
    <row r="39" spans="1:8" ht="43.5">
      <c r="B39" s="575"/>
      <c r="C39" s="30" t="s">
        <v>110</v>
      </c>
      <c r="D39" s="72" t="s">
        <v>111</v>
      </c>
      <c r="E39" s="30" t="s">
        <v>112</v>
      </c>
      <c r="F39" s="30" t="s">
        <v>113</v>
      </c>
      <c r="G39" s="501"/>
      <c r="H39" s="501"/>
    </row>
    <row r="40" spans="1:8">
      <c r="B40" s="575"/>
      <c r="C40" s="444" t="s">
        <v>114</v>
      </c>
      <c r="D40" s="72" t="s">
        <v>115</v>
      </c>
      <c r="E40" s="444" t="s">
        <v>116</v>
      </c>
      <c r="F40" s="444" t="s">
        <v>117</v>
      </c>
      <c r="G40" s="501" t="s">
        <v>118</v>
      </c>
      <c r="H40" s="501"/>
    </row>
    <row r="41" spans="1:8">
      <c r="B41" s="575"/>
      <c r="C41" s="445"/>
      <c r="D41" s="72" t="s">
        <v>119</v>
      </c>
      <c r="E41" s="501"/>
      <c r="F41" s="501"/>
      <c r="G41" s="501"/>
      <c r="H41" s="501"/>
    </row>
    <row r="42" spans="1:8" ht="29">
      <c r="B42" s="575"/>
      <c r="C42" s="445"/>
      <c r="D42" s="72" t="s">
        <v>120</v>
      </c>
      <c r="E42" s="30" t="s">
        <v>121</v>
      </c>
      <c r="F42" s="30" t="s">
        <v>122</v>
      </c>
      <c r="G42" s="501"/>
      <c r="H42" s="501"/>
    </row>
    <row r="43" spans="1:8">
      <c r="C43" s="588" t="s">
        <v>123</v>
      </c>
      <c r="D43" s="447"/>
      <c r="E43" s="447"/>
      <c r="F43" s="447"/>
      <c r="G43" s="447"/>
      <c r="H43" s="447"/>
    </row>
    <row r="44" spans="1:8">
      <c r="C44" s="583" t="s">
        <v>124</v>
      </c>
      <c r="D44" s="548"/>
      <c r="E44" s="447"/>
      <c r="F44" s="447"/>
      <c r="G44" s="447"/>
      <c r="H44" s="447"/>
    </row>
    <row r="45" spans="1:8" ht="29">
      <c r="A45" s="101"/>
      <c r="B45" s="575" t="s">
        <v>716</v>
      </c>
      <c r="C45" s="445" t="s">
        <v>125</v>
      </c>
      <c r="D45" s="30" t="s">
        <v>126</v>
      </c>
      <c r="E45" s="30" t="s">
        <v>127</v>
      </c>
      <c r="F45" s="30" t="s">
        <v>128</v>
      </c>
      <c r="G45" s="501" t="s">
        <v>129</v>
      </c>
      <c r="H45" s="501" t="s">
        <v>130</v>
      </c>
    </row>
    <row r="46" spans="1:8">
      <c r="A46" s="101"/>
      <c r="B46" s="575"/>
      <c r="C46" s="447"/>
      <c r="D46" s="72" t="s">
        <v>131</v>
      </c>
      <c r="E46" s="30" t="s">
        <v>132</v>
      </c>
      <c r="F46" s="444" t="s">
        <v>133</v>
      </c>
      <c r="G46" s="501"/>
      <c r="H46" s="445"/>
    </row>
    <row r="47" spans="1:8" ht="43.5">
      <c r="A47" s="101"/>
      <c r="B47" s="575"/>
      <c r="C47" s="447"/>
      <c r="D47" s="72" t="s">
        <v>134</v>
      </c>
      <c r="E47" s="30" t="s">
        <v>135</v>
      </c>
      <c r="F47" s="501"/>
      <c r="G47" s="501"/>
      <c r="H47" s="445"/>
    </row>
    <row r="48" spans="1:8" ht="29">
      <c r="A48" s="101"/>
      <c r="B48" s="575"/>
      <c r="C48" s="447"/>
      <c r="D48" s="72" t="s">
        <v>136</v>
      </c>
      <c r="E48" s="30" t="s">
        <v>137</v>
      </c>
      <c r="F48" s="30" t="s">
        <v>138</v>
      </c>
      <c r="G48" s="501"/>
      <c r="H48" s="445"/>
    </row>
    <row r="49" spans="1:8" ht="29">
      <c r="A49" s="101"/>
      <c r="B49" s="575"/>
      <c r="C49" s="447"/>
      <c r="D49" s="72" t="s">
        <v>139</v>
      </c>
      <c r="E49" s="30" t="s">
        <v>132</v>
      </c>
      <c r="F49" s="30" t="s">
        <v>140</v>
      </c>
      <c r="G49" s="501"/>
      <c r="H49" s="445"/>
    </row>
    <row r="50" spans="1:8" ht="29">
      <c r="A50" s="101"/>
      <c r="B50" s="575"/>
      <c r="C50" s="447"/>
      <c r="D50" s="72" t="s">
        <v>141</v>
      </c>
      <c r="E50" s="30" t="s">
        <v>142</v>
      </c>
      <c r="F50" s="30" t="s">
        <v>138</v>
      </c>
      <c r="G50" s="501"/>
      <c r="H50" s="445"/>
    </row>
    <row r="51" spans="1:8">
      <c r="A51" s="102"/>
      <c r="B51" s="575"/>
      <c r="C51" s="445" t="s">
        <v>143</v>
      </c>
      <c r="D51" s="72" t="s">
        <v>144</v>
      </c>
      <c r="E51" s="30" t="s">
        <v>145</v>
      </c>
      <c r="F51" s="30" t="s">
        <v>146</v>
      </c>
      <c r="G51" s="501"/>
      <c r="H51" s="445"/>
    </row>
    <row r="52" spans="1:8" ht="29">
      <c r="A52" s="102"/>
      <c r="B52" s="575"/>
      <c r="C52" s="445"/>
      <c r="D52" s="72" t="s">
        <v>147</v>
      </c>
      <c r="E52" s="30" t="s">
        <v>148</v>
      </c>
      <c r="F52" s="30" t="s">
        <v>149</v>
      </c>
      <c r="G52" s="501"/>
      <c r="H52" s="445"/>
    </row>
    <row r="53" spans="1:8" ht="29">
      <c r="A53" s="102"/>
      <c r="B53" s="575"/>
      <c r="C53" s="445"/>
      <c r="D53" s="72" t="s">
        <v>150</v>
      </c>
      <c r="E53" s="30" t="s">
        <v>151</v>
      </c>
      <c r="F53" s="30" t="s">
        <v>152</v>
      </c>
      <c r="G53" s="501"/>
      <c r="H53" s="445"/>
    </row>
    <row r="54" spans="1:8">
      <c r="A54" s="103"/>
      <c r="B54" s="575"/>
      <c r="C54" s="529" t="s">
        <v>153</v>
      </c>
      <c r="D54" s="72" t="s">
        <v>136</v>
      </c>
      <c r="E54" s="30" t="s">
        <v>154</v>
      </c>
      <c r="F54" s="444" t="s">
        <v>155</v>
      </c>
      <c r="G54" s="501" t="s">
        <v>156</v>
      </c>
      <c r="H54" s="501" t="s">
        <v>156</v>
      </c>
    </row>
    <row r="55" spans="1:8">
      <c r="A55" s="103"/>
      <c r="B55" s="575"/>
      <c r="C55" s="529"/>
      <c r="D55" s="72" t="s">
        <v>157</v>
      </c>
      <c r="E55" s="444" t="s">
        <v>158</v>
      </c>
      <c r="F55" s="529"/>
      <c r="G55" s="529"/>
      <c r="H55" s="529"/>
    </row>
    <row r="56" spans="1:8">
      <c r="A56" s="103"/>
      <c r="B56" s="575"/>
      <c r="C56" s="447"/>
      <c r="D56" s="72" t="s">
        <v>159</v>
      </c>
      <c r="E56" s="529"/>
      <c r="F56" s="529"/>
      <c r="G56" s="529"/>
      <c r="H56" s="529"/>
    </row>
    <row r="57" spans="1:8">
      <c r="A57" s="100"/>
      <c r="C57" s="588" t="s">
        <v>160</v>
      </c>
      <c r="D57" s="599"/>
      <c r="E57" s="599"/>
      <c r="F57" s="599"/>
      <c r="G57" s="599"/>
      <c r="H57" s="447"/>
    </row>
    <row r="58" spans="1:8">
      <c r="A58" s="100"/>
      <c r="C58" s="152" t="s">
        <v>161</v>
      </c>
      <c r="D58" s="154"/>
      <c r="E58" s="155"/>
      <c r="F58" s="155"/>
      <c r="G58" s="155"/>
      <c r="H58" s="63"/>
    </row>
    <row r="59" spans="1:8">
      <c r="A59" s="103"/>
      <c r="B59" s="576" t="s">
        <v>717</v>
      </c>
      <c r="C59" s="501" t="s">
        <v>162</v>
      </c>
      <c r="D59" s="119" t="s">
        <v>163</v>
      </c>
      <c r="E59" s="501" t="s">
        <v>164</v>
      </c>
      <c r="F59" s="501" t="s">
        <v>165</v>
      </c>
      <c r="G59" s="598" t="s">
        <v>166</v>
      </c>
      <c r="H59" s="501" t="s">
        <v>167</v>
      </c>
    </row>
    <row r="60" spans="1:8">
      <c r="A60" s="103"/>
      <c r="B60" s="577"/>
      <c r="C60" s="501"/>
      <c r="D60" s="120" t="s">
        <v>168</v>
      </c>
      <c r="E60" s="501"/>
      <c r="F60" s="501"/>
      <c r="G60" s="598"/>
      <c r="H60" s="501"/>
    </row>
    <row r="61" spans="1:8" ht="43.5">
      <c r="A61" s="101"/>
      <c r="B61" s="577"/>
      <c r="C61" s="501"/>
      <c r="D61" s="121" t="s">
        <v>169</v>
      </c>
      <c r="E61" s="10" t="s">
        <v>170</v>
      </c>
      <c r="F61" s="10" t="s">
        <v>171</v>
      </c>
      <c r="G61" s="10" t="s">
        <v>172</v>
      </c>
      <c r="H61" s="501"/>
    </row>
    <row r="62" spans="1:8">
      <c r="A62" s="101"/>
      <c r="B62" s="577"/>
      <c r="C62" s="501" t="s">
        <v>173</v>
      </c>
      <c r="D62" s="122" t="s">
        <v>174</v>
      </c>
      <c r="E62" s="501" t="s">
        <v>175</v>
      </c>
      <c r="F62" s="501" t="s">
        <v>176</v>
      </c>
      <c r="G62" s="501" t="s">
        <v>177</v>
      </c>
      <c r="H62" s="447"/>
    </row>
    <row r="63" spans="1:8">
      <c r="A63" s="101"/>
      <c r="B63" s="577"/>
      <c r="C63" s="501"/>
      <c r="D63" s="123" t="s">
        <v>178</v>
      </c>
      <c r="E63" s="501"/>
      <c r="F63" s="529"/>
      <c r="G63" s="501"/>
      <c r="H63" s="447"/>
    </row>
    <row r="64" spans="1:8" ht="29">
      <c r="A64" s="101"/>
      <c r="B64" s="577"/>
      <c r="C64" s="501"/>
      <c r="D64" s="123" t="s">
        <v>179</v>
      </c>
      <c r="E64" s="10" t="s">
        <v>180</v>
      </c>
      <c r="F64" s="10" t="s">
        <v>181</v>
      </c>
      <c r="G64" s="10" t="s">
        <v>182</v>
      </c>
      <c r="H64" s="447"/>
    </row>
    <row r="65" spans="1:8" ht="29">
      <c r="A65" s="103"/>
      <c r="B65" s="577"/>
      <c r="C65" s="10" t="s">
        <v>183</v>
      </c>
      <c r="D65" s="123" t="s">
        <v>184</v>
      </c>
      <c r="E65" s="10" t="s">
        <v>185</v>
      </c>
      <c r="F65" s="10" t="s">
        <v>186</v>
      </c>
      <c r="G65" s="10" t="s">
        <v>187</v>
      </c>
      <c r="H65" s="447"/>
    </row>
    <row r="66" spans="1:8" ht="58">
      <c r="A66" s="101"/>
      <c r="B66" s="578"/>
      <c r="C66" s="73" t="s">
        <v>188</v>
      </c>
      <c r="D66" s="124" t="s">
        <v>189</v>
      </c>
      <c r="E66" s="10" t="s">
        <v>190</v>
      </c>
      <c r="F66" s="10" t="s">
        <v>191</v>
      </c>
      <c r="G66" s="10" t="s">
        <v>192</v>
      </c>
      <c r="H66" s="447"/>
    </row>
    <row r="67" spans="1:8">
      <c r="C67" s="156" t="s">
        <v>193</v>
      </c>
      <c r="D67" s="157"/>
      <c r="E67" s="158"/>
      <c r="F67" s="158"/>
      <c r="G67" s="594"/>
      <c r="H67" s="447"/>
    </row>
    <row r="68" spans="1:8">
      <c r="C68" s="153" t="s">
        <v>194</v>
      </c>
      <c r="D68" s="159"/>
      <c r="E68" s="160"/>
      <c r="F68" s="160"/>
      <c r="G68" s="595"/>
      <c r="H68" s="447"/>
    </row>
    <row r="69" spans="1:8">
      <c r="B69" s="575" t="s">
        <v>718</v>
      </c>
      <c r="C69" s="501" t="s">
        <v>195</v>
      </c>
      <c r="D69" s="125" t="s">
        <v>196</v>
      </c>
      <c r="E69" s="30" t="s">
        <v>197</v>
      </c>
      <c r="F69" s="30" t="s">
        <v>197</v>
      </c>
      <c r="G69" s="30" t="s">
        <v>198</v>
      </c>
      <c r="H69" s="501" t="s">
        <v>199</v>
      </c>
    </row>
    <row r="70" spans="1:8" ht="29">
      <c r="B70" s="575"/>
      <c r="C70" s="445"/>
      <c r="D70" s="126" t="s">
        <v>200</v>
      </c>
      <c r="E70" s="30" t="s">
        <v>201</v>
      </c>
      <c r="F70" s="30" t="s">
        <v>201</v>
      </c>
      <c r="G70" s="30" t="s">
        <v>201</v>
      </c>
      <c r="H70" s="445"/>
    </row>
    <row r="71" spans="1:8">
      <c r="B71" s="575"/>
      <c r="C71" s="445"/>
      <c r="D71" s="125" t="s">
        <v>202</v>
      </c>
      <c r="E71" s="596" t="s">
        <v>203</v>
      </c>
      <c r="F71" s="444" t="s">
        <v>203</v>
      </c>
      <c r="G71" s="444" t="s">
        <v>203</v>
      </c>
      <c r="H71" s="447"/>
    </row>
    <row r="72" spans="1:8">
      <c r="B72" s="575"/>
      <c r="C72" s="445"/>
      <c r="D72" s="125" t="s">
        <v>204</v>
      </c>
      <c r="E72" s="597"/>
      <c r="F72" s="501"/>
      <c r="G72" s="501"/>
      <c r="H72" s="447"/>
    </row>
    <row r="73" spans="1:8">
      <c r="B73" s="575"/>
      <c r="C73" s="445" t="s">
        <v>205</v>
      </c>
      <c r="D73" s="126" t="s">
        <v>206</v>
      </c>
      <c r="E73" s="444" t="s">
        <v>207</v>
      </c>
      <c r="F73" s="444" t="s">
        <v>207</v>
      </c>
      <c r="G73" s="444" t="s">
        <v>207</v>
      </c>
      <c r="H73" s="447"/>
    </row>
    <row r="74" spans="1:8">
      <c r="B74" s="575"/>
      <c r="C74" s="445"/>
      <c r="D74" s="125" t="s">
        <v>208</v>
      </c>
      <c r="E74" s="501"/>
      <c r="F74" s="501"/>
      <c r="G74" s="501"/>
      <c r="H74" s="447"/>
    </row>
    <row r="75" spans="1:8" ht="29">
      <c r="B75" s="575"/>
      <c r="C75" s="445"/>
      <c r="D75" s="125" t="s">
        <v>209</v>
      </c>
      <c r="E75" s="172" t="s">
        <v>210</v>
      </c>
      <c r="F75" s="30" t="s">
        <v>210</v>
      </c>
      <c r="G75" s="30" t="s">
        <v>210</v>
      </c>
      <c r="H75" s="447"/>
    </row>
    <row r="76" spans="1:8">
      <c r="C76" s="150" t="s">
        <v>211</v>
      </c>
      <c r="D76" s="147"/>
      <c r="E76" s="592"/>
      <c r="F76" s="447"/>
      <c r="G76" s="447"/>
      <c r="H76" s="447"/>
    </row>
    <row r="77" spans="1:8">
      <c r="C77" s="583" t="s">
        <v>212</v>
      </c>
      <c r="D77" s="583"/>
      <c r="E77" s="593"/>
      <c r="F77" s="593"/>
      <c r="G77" s="593"/>
      <c r="H77" s="447"/>
    </row>
    <row r="78" spans="1:8" ht="29">
      <c r="A78" s="113"/>
      <c r="B78" s="575" t="s">
        <v>719</v>
      </c>
      <c r="C78" s="444" t="s">
        <v>213</v>
      </c>
      <c r="D78" s="72" t="s">
        <v>214</v>
      </c>
      <c r="E78" s="444" t="s">
        <v>215</v>
      </c>
      <c r="F78" s="30" t="s">
        <v>216</v>
      </c>
      <c r="G78" s="30" t="s">
        <v>216</v>
      </c>
      <c r="H78" s="529" t="s">
        <v>217</v>
      </c>
    </row>
    <row r="79" spans="1:8" ht="29">
      <c r="A79" s="113"/>
      <c r="B79" s="575"/>
      <c r="C79" s="445"/>
      <c r="D79" s="72" t="s">
        <v>218</v>
      </c>
      <c r="E79" s="501"/>
      <c r="F79" s="30" t="s">
        <v>219</v>
      </c>
      <c r="G79" s="30" t="s">
        <v>219</v>
      </c>
      <c r="H79" s="447"/>
    </row>
    <row r="80" spans="1:8">
      <c r="A80" s="113"/>
      <c r="C80" s="591" t="s">
        <v>220</v>
      </c>
      <c r="D80" s="447"/>
      <c r="E80" s="447"/>
      <c r="F80" s="447"/>
      <c r="G80" s="447"/>
      <c r="H80" s="447"/>
    </row>
    <row r="81" spans="1:8">
      <c r="A81" s="113"/>
      <c r="C81" s="582" t="s">
        <v>221</v>
      </c>
      <c r="D81" s="445"/>
      <c r="E81" s="445"/>
      <c r="F81" s="445"/>
      <c r="G81" s="445"/>
      <c r="H81" s="447"/>
    </row>
    <row r="82" spans="1:8" ht="29">
      <c r="A82" s="113"/>
      <c r="B82" s="575" t="s">
        <v>720</v>
      </c>
      <c r="C82" s="444" t="s">
        <v>222</v>
      </c>
      <c r="D82" s="30" t="s">
        <v>223</v>
      </c>
      <c r="E82" s="30" t="s">
        <v>224</v>
      </c>
      <c r="F82" s="30" t="s">
        <v>224</v>
      </c>
      <c r="G82" s="10" t="s">
        <v>224</v>
      </c>
      <c r="H82" s="501" t="s">
        <v>225</v>
      </c>
    </row>
    <row r="83" spans="1:8" ht="29">
      <c r="A83" s="113"/>
      <c r="B83" s="575"/>
      <c r="C83" s="446"/>
      <c r="D83" s="30" t="s">
        <v>226</v>
      </c>
      <c r="E83" s="30" t="s">
        <v>227</v>
      </c>
      <c r="F83" s="30" t="s">
        <v>228</v>
      </c>
      <c r="G83" s="10" t="s">
        <v>228</v>
      </c>
      <c r="H83" s="501"/>
    </row>
    <row r="84" spans="1:8">
      <c r="A84" s="113"/>
      <c r="B84" s="575"/>
      <c r="C84" s="446"/>
      <c r="D84" s="30" t="s">
        <v>229</v>
      </c>
      <c r="E84" s="444" t="s">
        <v>230</v>
      </c>
      <c r="F84" s="444" t="s">
        <v>231</v>
      </c>
      <c r="G84" s="501" t="s">
        <v>231</v>
      </c>
      <c r="H84" s="501"/>
    </row>
    <row r="85" spans="1:8">
      <c r="A85" s="113"/>
      <c r="B85" s="575"/>
      <c r="C85" s="446"/>
      <c r="D85" s="30" t="s">
        <v>232</v>
      </c>
      <c r="E85" s="529"/>
      <c r="F85" s="529"/>
      <c r="G85" s="501"/>
      <c r="H85" s="501"/>
    </row>
    <row r="86" spans="1:8" ht="29">
      <c r="A86" s="113"/>
      <c r="B86" s="575"/>
      <c r="C86" s="444" t="s">
        <v>233</v>
      </c>
      <c r="D86" s="30" t="s">
        <v>234</v>
      </c>
      <c r="E86" s="30" t="s">
        <v>235</v>
      </c>
      <c r="F86" s="30" t="s">
        <v>236</v>
      </c>
      <c r="G86" s="10" t="s">
        <v>237</v>
      </c>
      <c r="H86" s="501"/>
    </row>
    <row r="87" spans="1:8" ht="43.5">
      <c r="A87" s="113"/>
      <c r="B87" s="575"/>
      <c r="C87" s="501"/>
      <c r="D87" s="30" t="s">
        <v>238</v>
      </c>
      <c r="E87" s="30" t="s">
        <v>239</v>
      </c>
      <c r="F87" s="30" t="s">
        <v>240</v>
      </c>
      <c r="G87" s="10" t="s">
        <v>240</v>
      </c>
      <c r="H87" s="501"/>
    </row>
    <row r="88" spans="1:8">
      <c r="A88" s="113"/>
      <c r="B88" s="575"/>
      <c r="C88" s="444" t="s">
        <v>241</v>
      </c>
      <c r="D88" s="30" t="s">
        <v>242</v>
      </c>
      <c r="E88" s="30" t="s">
        <v>243</v>
      </c>
      <c r="F88" s="30" t="s">
        <v>243</v>
      </c>
      <c r="G88" s="10" t="s">
        <v>243</v>
      </c>
      <c r="H88" s="501"/>
    </row>
    <row r="89" spans="1:8" ht="29">
      <c r="A89" s="113"/>
      <c r="B89" s="575"/>
      <c r="C89" s="445"/>
      <c r="D89" s="30" t="s">
        <v>244</v>
      </c>
      <c r="E89" s="45" t="s">
        <v>245</v>
      </c>
      <c r="F89" s="30" t="s">
        <v>246</v>
      </c>
      <c r="G89" s="10" t="s">
        <v>246</v>
      </c>
      <c r="H89" s="501"/>
    </row>
    <row r="90" spans="1:8" ht="29">
      <c r="A90" s="113"/>
      <c r="B90" s="575"/>
      <c r="C90" s="445"/>
      <c r="D90" s="30" t="s">
        <v>82</v>
      </c>
      <c r="E90" s="30" t="s">
        <v>247</v>
      </c>
      <c r="F90" s="30" t="s">
        <v>248</v>
      </c>
      <c r="G90" s="10" t="s">
        <v>249</v>
      </c>
      <c r="H90" s="501"/>
    </row>
    <row r="91" spans="1:8" ht="29">
      <c r="A91" s="113"/>
      <c r="B91" s="575"/>
      <c r="C91" s="445"/>
      <c r="D91" s="30" t="s">
        <v>250</v>
      </c>
      <c r="E91" s="30" t="s">
        <v>251</v>
      </c>
      <c r="F91" s="30" t="s">
        <v>252</v>
      </c>
      <c r="G91" s="10" t="s">
        <v>253</v>
      </c>
      <c r="H91" s="501"/>
    </row>
    <row r="92" spans="1:8" ht="29">
      <c r="A92" s="113"/>
      <c r="B92" s="575"/>
      <c r="C92" s="445"/>
      <c r="D92" s="30" t="s">
        <v>254</v>
      </c>
      <c r="E92" s="45" t="s">
        <v>255</v>
      </c>
      <c r="F92" s="45" t="s">
        <v>255</v>
      </c>
      <c r="G92" s="10" t="s">
        <v>255</v>
      </c>
      <c r="H92" s="501"/>
    </row>
    <row r="93" spans="1:8">
      <c r="C93" s="590" t="s">
        <v>256</v>
      </c>
      <c r="D93" s="590"/>
      <c r="E93" s="590"/>
      <c r="F93" s="590"/>
      <c r="G93" s="590"/>
      <c r="H93" s="529"/>
    </row>
    <row r="94" spans="1:8">
      <c r="C94" s="150" t="s">
        <v>257</v>
      </c>
      <c r="D94" s="151"/>
      <c r="E94" s="161"/>
      <c r="F94" s="161"/>
      <c r="G94" s="584"/>
      <c r="H94" s="584"/>
    </row>
    <row r="95" spans="1:8">
      <c r="C95" s="583" t="s">
        <v>258</v>
      </c>
      <c r="D95" s="583"/>
      <c r="E95" s="583"/>
      <c r="F95" s="583"/>
      <c r="G95" s="583"/>
      <c r="H95" s="583"/>
    </row>
    <row r="96" spans="1:8" ht="29">
      <c r="B96" s="575" t="s">
        <v>721</v>
      </c>
      <c r="C96" s="444" t="s">
        <v>259</v>
      </c>
      <c r="D96" s="72" t="s">
        <v>260</v>
      </c>
      <c r="E96" s="30" t="s">
        <v>261</v>
      </c>
      <c r="F96" s="30" t="s">
        <v>262</v>
      </c>
      <c r="G96" s="30" t="s">
        <v>263</v>
      </c>
      <c r="H96" s="501" t="s">
        <v>264</v>
      </c>
    </row>
    <row r="97" spans="2:8" ht="29">
      <c r="B97" s="575"/>
      <c r="C97" s="445"/>
      <c r="D97" s="72" t="s">
        <v>265</v>
      </c>
      <c r="E97" s="444" t="s">
        <v>266</v>
      </c>
      <c r="F97" s="30" t="s">
        <v>267</v>
      </c>
      <c r="G97" s="30" t="s">
        <v>268</v>
      </c>
      <c r="H97" s="501"/>
    </row>
    <row r="98" spans="2:8" ht="29">
      <c r="B98" s="575"/>
      <c r="C98" s="445"/>
      <c r="D98" s="72" t="s">
        <v>269</v>
      </c>
      <c r="E98" s="501"/>
      <c r="F98" s="30" t="s">
        <v>270</v>
      </c>
      <c r="G98" s="30" t="s">
        <v>271</v>
      </c>
      <c r="H98" s="501"/>
    </row>
    <row r="99" spans="2:8" ht="29">
      <c r="B99" s="575"/>
      <c r="C99" s="444" t="s">
        <v>272</v>
      </c>
      <c r="D99" s="72" t="s">
        <v>273</v>
      </c>
      <c r="E99" s="444" t="s">
        <v>274</v>
      </c>
      <c r="F99" s="30" t="s">
        <v>275</v>
      </c>
      <c r="G99" s="30" t="s">
        <v>276</v>
      </c>
      <c r="H99" s="334" t="s">
        <v>277</v>
      </c>
    </row>
    <row r="100" spans="2:8">
      <c r="B100" s="575"/>
      <c r="C100" s="445"/>
      <c r="D100" s="72" t="s">
        <v>278</v>
      </c>
      <c r="E100" s="501"/>
      <c r="F100" s="444" t="s">
        <v>279</v>
      </c>
      <c r="G100" s="444" t="s">
        <v>280</v>
      </c>
      <c r="H100" s="589"/>
    </row>
    <row r="101" spans="2:8">
      <c r="B101" s="575"/>
      <c r="C101" s="445"/>
      <c r="D101" s="72" t="s">
        <v>281</v>
      </c>
      <c r="E101" s="501"/>
      <c r="F101" s="501"/>
      <c r="G101" s="501"/>
      <c r="H101" s="589"/>
    </row>
    <row r="102" spans="2:8" ht="29">
      <c r="B102" s="575"/>
      <c r="C102" s="445"/>
      <c r="D102" s="30" t="s">
        <v>282</v>
      </c>
      <c r="E102" s="444" t="s">
        <v>283</v>
      </c>
      <c r="F102" s="444" t="s">
        <v>284</v>
      </c>
      <c r="G102" s="444" t="s">
        <v>285</v>
      </c>
      <c r="H102" s="589"/>
    </row>
    <row r="103" spans="2:8">
      <c r="B103" s="575"/>
      <c r="C103" s="445"/>
      <c r="D103" s="72" t="s">
        <v>82</v>
      </c>
      <c r="E103" s="501"/>
      <c r="F103" s="501"/>
      <c r="G103" s="501"/>
      <c r="H103" s="589"/>
    </row>
    <row r="104" spans="2:8">
      <c r="B104" s="575"/>
      <c r="C104" s="447"/>
      <c r="D104" s="72" t="s">
        <v>286</v>
      </c>
      <c r="E104" s="444" t="s">
        <v>287</v>
      </c>
      <c r="F104" s="30" t="s">
        <v>279</v>
      </c>
      <c r="G104" s="30" t="s">
        <v>280</v>
      </c>
      <c r="H104" s="589"/>
    </row>
    <row r="105" spans="2:8" ht="29">
      <c r="B105" s="575"/>
      <c r="C105" s="447"/>
      <c r="D105" s="30" t="s">
        <v>288</v>
      </c>
      <c r="E105" s="501"/>
      <c r="F105" s="30" t="s">
        <v>289</v>
      </c>
      <c r="G105" s="30" t="s">
        <v>290</v>
      </c>
      <c r="H105" s="589"/>
    </row>
    <row r="106" spans="2:8" ht="29">
      <c r="B106" s="575"/>
      <c r="C106" s="447"/>
      <c r="D106" s="72" t="s">
        <v>291</v>
      </c>
      <c r="E106" s="444" t="s">
        <v>292</v>
      </c>
      <c r="F106" s="30" t="s">
        <v>293</v>
      </c>
      <c r="G106" s="30" t="s">
        <v>294</v>
      </c>
      <c r="H106" s="589"/>
    </row>
    <row r="107" spans="2:8">
      <c r="B107" s="575"/>
      <c r="C107" s="447"/>
      <c r="D107" s="72" t="s">
        <v>82</v>
      </c>
      <c r="E107" s="501"/>
      <c r="F107" s="30" t="s">
        <v>295</v>
      </c>
      <c r="G107" s="127" t="s">
        <v>296</v>
      </c>
      <c r="H107" s="589"/>
    </row>
    <row r="108" spans="2:8">
      <c r="B108" s="575"/>
      <c r="C108" s="447"/>
      <c r="D108" s="72" t="s">
        <v>291</v>
      </c>
      <c r="E108" s="444" t="s">
        <v>297</v>
      </c>
      <c r="F108" s="30" t="s">
        <v>298</v>
      </c>
      <c r="G108" s="30" t="s">
        <v>299</v>
      </c>
      <c r="H108" s="589"/>
    </row>
    <row r="109" spans="2:8" ht="29">
      <c r="B109" s="575"/>
      <c r="C109" s="447"/>
      <c r="D109" s="72" t="s">
        <v>82</v>
      </c>
      <c r="E109" s="501"/>
      <c r="F109" s="30" t="s">
        <v>300</v>
      </c>
      <c r="G109" s="30" t="s">
        <v>301</v>
      </c>
      <c r="H109" s="589"/>
    </row>
    <row r="110" spans="2:8">
      <c r="B110" s="575"/>
      <c r="C110" s="447"/>
      <c r="D110" s="72" t="s">
        <v>291</v>
      </c>
      <c r="E110" s="444" t="s">
        <v>302</v>
      </c>
      <c r="F110" s="30" t="s">
        <v>298</v>
      </c>
      <c r="G110" s="30" t="s">
        <v>299</v>
      </c>
      <c r="H110" s="589"/>
    </row>
    <row r="111" spans="2:8" ht="29">
      <c r="B111" s="575"/>
      <c r="C111" s="447"/>
      <c r="D111" s="72" t="s">
        <v>82</v>
      </c>
      <c r="E111" s="501"/>
      <c r="F111" s="30" t="s">
        <v>300</v>
      </c>
      <c r="G111" s="30" t="s">
        <v>301</v>
      </c>
      <c r="H111" s="589"/>
    </row>
    <row r="112" spans="2:8">
      <c r="B112" s="575"/>
      <c r="C112" s="447"/>
      <c r="D112" s="72" t="s">
        <v>303</v>
      </c>
      <c r="E112" s="444" t="s">
        <v>304</v>
      </c>
      <c r="F112" s="30" t="s">
        <v>305</v>
      </c>
      <c r="G112" s="45" t="s">
        <v>306</v>
      </c>
      <c r="H112" s="589"/>
    </row>
    <row r="113" spans="2:8" ht="29">
      <c r="B113" s="575"/>
      <c r="C113" s="447"/>
      <c r="D113" s="72" t="s">
        <v>82</v>
      </c>
      <c r="E113" s="501"/>
      <c r="F113" s="30" t="s">
        <v>300</v>
      </c>
      <c r="G113" s="30" t="s">
        <v>301</v>
      </c>
      <c r="H113" s="589"/>
    </row>
    <row r="114" spans="2:8" ht="29">
      <c r="B114" s="575"/>
      <c r="C114" s="447"/>
      <c r="D114" s="72" t="s">
        <v>82</v>
      </c>
      <c r="E114" s="444" t="s">
        <v>307</v>
      </c>
      <c r="F114" s="30" t="s">
        <v>308</v>
      </c>
      <c r="G114" s="30" t="s">
        <v>309</v>
      </c>
      <c r="H114" s="589"/>
    </row>
    <row r="115" spans="2:8" ht="29">
      <c r="B115" s="575"/>
      <c r="C115" s="447"/>
      <c r="D115" s="72" t="s">
        <v>310</v>
      </c>
      <c r="E115" s="501"/>
      <c r="F115" s="30" t="s">
        <v>300</v>
      </c>
      <c r="G115" s="30" t="s">
        <v>301</v>
      </c>
      <c r="H115" s="589"/>
    </row>
    <row r="116" spans="2:8" ht="43.5">
      <c r="B116" s="575"/>
      <c r="C116" s="444" t="s">
        <v>311</v>
      </c>
      <c r="D116" s="72" t="s">
        <v>312</v>
      </c>
      <c r="E116" s="444" t="s">
        <v>313</v>
      </c>
      <c r="F116" s="30" t="s">
        <v>314</v>
      </c>
      <c r="G116" s="30" t="s">
        <v>315</v>
      </c>
      <c r="H116" s="589"/>
    </row>
    <row r="117" spans="2:8" ht="43.5">
      <c r="B117" s="575"/>
      <c r="C117" s="445"/>
      <c r="D117" s="72" t="s">
        <v>316</v>
      </c>
      <c r="E117" s="501"/>
      <c r="F117" s="30" t="s">
        <v>317</v>
      </c>
      <c r="G117" s="30" t="s">
        <v>318</v>
      </c>
      <c r="H117" s="589"/>
    </row>
    <row r="118" spans="2:8" ht="43.5">
      <c r="B118" s="575"/>
      <c r="C118" s="446" t="s">
        <v>319</v>
      </c>
      <c r="D118" s="72" t="s">
        <v>320</v>
      </c>
      <c r="E118" s="30" t="s">
        <v>321</v>
      </c>
      <c r="F118" s="30" t="s">
        <v>322</v>
      </c>
      <c r="G118" s="30" t="s">
        <v>323</v>
      </c>
      <c r="H118" s="589"/>
    </row>
    <row r="119" spans="2:8" ht="29">
      <c r="B119" s="575"/>
      <c r="C119" s="445"/>
      <c r="D119" s="72" t="s">
        <v>324</v>
      </c>
      <c r="E119" s="30" t="s">
        <v>325</v>
      </c>
      <c r="F119" s="30" t="s">
        <v>326</v>
      </c>
      <c r="G119" s="45" t="s">
        <v>327</v>
      </c>
      <c r="H119" s="589"/>
    </row>
    <row r="120" spans="2:8" ht="43.5">
      <c r="B120" s="575"/>
      <c r="C120" s="445"/>
      <c r="D120" s="72" t="s">
        <v>328</v>
      </c>
      <c r="E120" s="30" t="s">
        <v>329</v>
      </c>
      <c r="F120" s="30" t="s">
        <v>330</v>
      </c>
      <c r="G120" s="30" t="s">
        <v>330</v>
      </c>
      <c r="H120" s="589"/>
    </row>
    <row r="121" spans="2:8">
      <c r="C121" s="162" t="s">
        <v>331</v>
      </c>
      <c r="D121" s="147"/>
      <c r="E121" s="148"/>
      <c r="F121" s="148"/>
      <c r="G121" s="148"/>
      <c r="H121" s="149"/>
    </row>
    <row r="122" spans="2:8">
      <c r="C122" s="583" t="s">
        <v>332</v>
      </c>
      <c r="D122" s="548"/>
      <c r="E122" s="548"/>
      <c r="F122" s="548"/>
      <c r="G122" s="548"/>
      <c r="H122" s="548"/>
    </row>
    <row r="123" spans="2:8" ht="29">
      <c r="C123" s="45" t="s">
        <v>333</v>
      </c>
      <c r="D123" s="72" t="s">
        <v>334</v>
      </c>
      <c r="E123" s="45" t="s">
        <v>335</v>
      </c>
      <c r="F123" s="45" t="s">
        <v>336</v>
      </c>
      <c r="G123" s="30" t="s">
        <v>337</v>
      </c>
      <c r="H123" s="501" t="s">
        <v>338</v>
      </c>
    </row>
    <row r="124" spans="2:8">
      <c r="B124" s="575" t="s">
        <v>332</v>
      </c>
      <c r="C124" s="446" t="s">
        <v>339</v>
      </c>
      <c r="D124" s="118" t="s">
        <v>340</v>
      </c>
      <c r="E124" s="45" t="s">
        <v>341</v>
      </c>
      <c r="F124" s="45" t="s">
        <v>342</v>
      </c>
      <c r="G124" s="45" t="s">
        <v>342</v>
      </c>
      <c r="H124" s="445"/>
    </row>
    <row r="125" spans="2:8" ht="29">
      <c r="B125" s="575"/>
      <c r="C125" s="445"/>
      <c r="D125" s="118" t="s">
        <v>82</v>
      </c>
      <c r="E125" s="45" t="s">
        <v>343</v>
      </c>
      <c r="F125" s="30" t="s">
        <v>344</v>
      </c>
      <c r="G125" s="45" t="s">
        <v>344</v>
      </c>
      <c r="H125" s="445"/>
    </row>
    <row r="126" spans="2:8" ht="29">
      <c r="B126" s="575"/>
      <c r="C126" s="447"/>
      <c r="D126" s="72" t="s">
        <v>345</v>
      </c>
      <c r="E126" s="30" t="s">
        <v>346</v>
      </c>
      <c r="F126" s="30" t="s">
        <v>347</v>
      </c>
      <c r="G126" s="30" t="s">
        <v>347</v>
      </c>
      <c r="H126" s="445"/>
    </row>
    <row r="127" spans="2:8" ht="43.5">
      <c r="B127" s="575"/>
      <c r="C127" s="447"/>
      <c r="D127" s="118" t="s">
        <v>348</v>
      </c>
      <c r="E127" s="45" t="s">
        <v>349</v>
      </c>
      <c r="F127" s="45" t="s">
        <v>350</v>
      </c>
      <c r="G127" s="45" t="s">
        <v>351</v>
      </c>
      <c r="H127" s="445"/>
    </row>
    <row r="128" spans="2:8" ht="29">
      <c r="B128" s="575"/>
      <c r="C128" s="447"/>
      <c r="D128" s="72" t="s">
        <v>352</v>
      </c>
      <c r="E128" s="30" t="s">
        <v>353</v>
      </c>
      <c r="F128" s="444" t="s">
        <v>354</v>
      </c>
      <c r="G128" s="444" t="s">
        <v>354</v>
      </c>
      <c r="H128" s="445"/>
    </row>
    <row r="129" spans="2:8">
      <c r="B129" s="575"/>
      <c r="C129" s="447"/>
      <c r="D129" s="72" t="s">
        <v>355</v>
      </c>
      <c r="E129" s="45" t="s">
        <v>356</v>
      </c>
      <c r="F129" s="529"/>
      <c r="G129" s="529"/>
      <c r="H129" s="445"/>
    </row>
    <row r="130" spans="2:8" ht="43.5">
      <c r="B130" s="575"/>
      <c r="C130" s="447"/>
      <c r="D130" s="72" t="s">
        <v>357</v>
      </c>
      <c r="E130" s="30" t="s">
        <v>358</v>
      </c>
      <c r="F130" s="30" t="s">
        <v>359</v>
      </c>
      <c r="G130" s="30" t="s">
        <v>359</v>
      </c>
      <c r="H130" s="445"/>
    </row>
    <row r="131" spans="2:8" ht="29">
      <c r="B131" s="575"/>
      <c r="C131" s="447"/>
      <c r="D131" s="72" t="s">
        <v>360</v>
      </c>
      <c r="E131" s="30" t="s">
        <v>361</v>
      </c>
      <c r="F131" s="45" t="s">
        <v>362</v>
      </c>
      <c r="G131" s="30" t="s">
        <v>363</v>
      </c>
      <c r="H131" s="445"/>
    </row>
    <row r="132" spans="2:8" ht="43.5">
      <c r="B132" s="575"/>
      <c r="C132" s="447"/>
      <c r="D132" s="72" t="s">
        <v>364</v>
      </c>
      <c r="E132" s="30" t="s">
        <v>365</v>
      </c>
      <c r="F132" s="45" t="s">
        <v>365</v>
      </c>
      <c r="G132" s="30" t="s">
        <v>365</v>
      </c>
      <c r="H132" s="445"/>
    </row>
    <row r="133" spans="2:8">
      <c r="B133" s="575"/>
      <c r="C133" s="447"/>
      <c r="D133" s="72" t="s">
        <v>174</v>
      </c>
      <c r="E133" s="507" t="s">
        <v>366</v>
      </c>
      <c r="F133" s="444" t="s">
        <v>367</v>
      </c>
      <c r="G133" s="444" t="s">
        <v>367</v>
      </c>
      <c r="H133" s="445"/>
    </row>
    <row r="134" spans="2:8">
      <c r="B134" s="575"/>
      <c r="C134" s="447"/>
      <c r="D134" s="72" t="s">
        <v>82</v>
      </c>
      <c r="E134" s="529"/>
      <c r="F134" s="529"/>
      <c r="G134" s="501"/>
      <c r="H134" s="445"/>
    </row>
    <row r="135" spans="2:8" ht="29">
      <c r="B135" s="575"/>
      <c r="C135" s="447"/>
      <c r="D135" s="72" t="s">
        <v>368</v>
      </c>
      <c r="E135" s="45" t="s">
        <v>369</v>
      </c>
      <c r="F135" s="30" t="s">
        <v>370</v>
      </c>
      <c r="G135" s="30" t="s">
        <v>370</v>
      </c>
      <c r="H135" s="445"/>
    </row>
    <row r="136" spans="2:8">
      <c r="B136" s="575"/>
      <c r="C136" s="447"/>
      <c r="D136" s="30" t="s">
        <v>174</v>
      </c>
      <c r="E136" s="444" t="s">
        <v>371</v>
      </c>
      <c r="F136" s="507" t="s">
        <v>372</v>
      </c>
      <c r="G136" s="507" t="s">
        <v>372</v>
      </c>
      <c r="H136" s="445"/>
    </row>
    <row r="137" spans="2:8">
      <c r="B137" s="575"/>
      <c r="C137" s="447"/>
      <c r="D137" s="72" t="s">
        <v>82</v>
      </c>
      <c r="E137" s="501"/>
      <c r="F137" s="529"/>
      <c r="G137" s="529"/>
      <c r="H137" s="445"/>
    </row>
    <row r="138" spans="2:8" ht="29">
      <c r="B138" s="575"/>
      <c r="C138" s="447"/>
      <c r="D138" s="72" t="s">
        <v>373</v>
      </c>
      <c r="E138" s="30" t="s">
        <v>374</v>
      </c>
      <c r="F138" s="30" t="s">
        <v>374</v>
      </c>
      <c r="G138" s="30" t="s">
        <v>374</v>
      </c>
      <c r="H138" s="445"/>
    </row>
    <row r="139" spans="2:8">
      <c r="B139" s="575"/>
      <c r="C139" s="447"/>
      <c r="D139" s="72" t="s">
        <v>174</v>
      </c>
      <c r="E139" s="444" t="s">
        <v>375</v>
      </c>
      <c r="F139" s="444" t="s">
        <v>376</v>
      </c>
      <c r="G139" s="444" t="s">
        <v>377</v>
      </c>
      <c r="H139" s="445"/>
    </row>
    <row r="140" spans="2:8">
      <c r="B140" s="575"/>
      <c r="C140" s="447"/>
      <c r="D140" s="72" t="s">
        <v>82</v>
      </c>
      <c r="E140" s="501"/>
      <c r="F140" s="501"/>
      <c r="G140" s="501"/>
      <c r="H140" s="445"/>
    </row>
    <row r="141" spans="2:8">
      <c r="B141" s="575"/>
      <c r="C141" s="444" t="s">
        <v>378</v>
      </c>
      <c r="D141" s="72" t="s">
        <v>174</v>
      </c>
      <c r="E141" s="444" t="s">
        <v>379</v>
      </c>
      <c r="F141" s="507" t="s">
        <v>380</v>
      </c>
      <c r="G141" s="507" t="s">
        <v>381</v>
      </c>
      <c r="H141" s="445"/>
    </row>
    <row r="142" spans="2:8">
      <c r="B142" s="575"/>
      <c r="C142" s="445"/>
      <c r="D142" s="72" t="s">
        <v>82</v>
      </c>
      <c r="E142" s="529"/>
      <c r="F142" s="529"/>
      <c r="G142" s="529"/>
      <c r="H142" s="445"/>
    </row>
    <row r="143" spans="2:8" ht="43.5">
      <c r="B143" s="575"/>
      <c r="C143" s="445"/>
      <c r="D143" s="72" t="s">
        <v>382</v>
      </c>
      <c r="E143" s="127" t="s">
        <v>722</v>
      </c>
      <c r="F143" s="30" t="s">
        <v>384</v>
      </c>
      <c r="G143" s="45" t="s">
        <v>384</v>
      </c>
      <c r="H143" s="445"/>
    </row>
    <row r="144" spans="2:8">
      <c r="C144" s="588" t="s">
        <v>385</v>
      </c>
      <c r="D144" s="447"/>
      <c r="E144" s="447"/>
      <c r="F144" s="447"/>
      <c r="G144" s="447"/>
      <c r="H144" s="447"/>
    </row>
    <row r="145" spans="2:8">
      <c r="C145" s="583" t="s">
        <v>386</v>
      </c>
      <c r="D145" s="447"/>
      <c r="E145" s="447"/>
      <c r="F145" s="447"/>
      <c r="G145" s="447"/>
      <c r="H145" s="63"/>
    </row>
    <row r="146" spans="2:8" ht="43.5">
      <c r="B146" s="575" t="s">
        <v>723</v>
      </c>
      <c r="C146" s="446" t="s">
        <v>387</v>
      </c>
      <c r="D146" s="128" t="s">
        <v>724</v>
      </c>
      <c r="E146" s="30" t="s">
        <v>389</v>
      </c>
      <c r="F146" s="30" t="s">
        <v>390</v>
      </c>
      <c r="G146" s="501" t="s">
        <v>391</v>
      </c>
      <c r="H146" s="501" t="s">
        <v>392</v>
      </c>
    </row>
    <row r="147" spans="2:8" ht="29">
      <c r="B147" s="575"/>
      <c r="C147" s="446"/>
      <c r="D147" s="125" t="s">
        <v>393</v>
      </c>
      <c r="E147" s="30" t="s">
        <v>394</v>
      </c>
      <c r="F147" s="30" t="s">
        <v>395</v>
      </c>
      <c r="G147" s="501"/>
      <c r="H147" s="501"/>
    </row>
    <row r="148" spans="2:8">
      <c r="B148" s="575"/>
      <c r="C148" s="446" t="s">
        <v>396</v>
      </c>
      <c r="D148" s="125" t="s">
        <v>397</v>
      </c>
      <c r="E148" s="30" t="s">
        <v>398</v>
      </c>
      <c r="F148" s="45" t="s">
        <v>399</v>
      </c>
      <c r="G148" s="501" t="s">
        <v>400</v>
      </c>
      <c r="H148" s="501"/>
    </row>
    <row r="149" spans="2:8">
      <c r="B149" s="575"/>
      <c r="C149" s="446"/>
      <c r="D149" s="125" t="s">
        <v>401</v>
      </c>
      <c r="E149" s="30" t="s">
        <v>402</v>
      </c>
      <c r="F149" s="45" t="s">
        <v>403</v>
      </c>
      <c r="G149" s="529"/>
      <c r="H149" s="501"/>
    </row>
    <row r="150" spans="2:8" ht="29">
      <c r="B150" s="575"/>
      <c r="C150" s="446" t="s">
        <v>404</v>
      </c>
      <c r="D150" s="125" t="s">
        <v>352</v>
      </c>
      <c r="E150" s="30" t="s">
        <v>405</v>
      </c>
      <c r="F150" s="30" t="s">
        <v>406</v>
      </c>
      <c r="G150" s="501" t="s">
        <v>407</v>
      </c>
      <c r="H150" s="501" t="s">
        <v>408</v>
      </c>
    </row>
    <row r="151" spans="2:8">
      <c r="B151" s="575"/>
      <c r="C151" s="446"/>
      <c r="D151" s="125" t="s">
        <v>409</v>
      </c>
      <c r="E151" s="30" t="s">
        <v>410</v>
      </c>
      <c r="F151" s="45" t="s">
        <v>411</v>
      </c>
      <c r="G151" s="529"/>
      <c r="H151" s="501"/>
    </row>
    <row r="152" spans="2:8">
      <c r="B152" s="575"/>
      <c r="C152" s="444" t="s">
        <v>412</v>
      </c>
      <c r="D152" s="125" t="s">
        <v>413</v>
      </c>
      <c r="E152" s="30" t="s">
        <v>414</v>
      </c>
      <c r="F152" s="45" t="s">
        <v>415</v>
      </c>
      <c r="G152" s="501" t="s">
        <v>416</v>
      </c>
      <c r="H152" s="501"/>
    </row>
    <row r="153" spans="2:8">
      <c r="B153" s="575"/>
      <c r="C153" s="510"/>
      <c r="D153" s="125" t="s">
        <v>417</v>
      </c>
      <c r="E153" s="30" t="s">
        <v>418</v>
      </c>
      <c r="F153" s="45" t="s">
        <v>419</v>
      </c>
      <c r="G153" s="501"/>
      <c r="H153" s="501"/>
    </row>
    <row r="154" spans="2:8" ht="29">
      <c r="B154" s="575"/>
      <c r="C154" s="510"/>
      <c r="D154" s="125" t="s">
        <v>420</v>
      </c>
      <c r="E154" s="30" t="s">
        <v>421</v>
      </c>
      <c r="F154" s="30" t="s">
        <v>422</v>
      </c>
      <c r="G154" s="73" t="s">
        <v>423</v>
      </c>
      <c r="H154" s="501" t="s">
        <v>424</v>
      </c>
    </row>
    <row r="155" spans="2:8">
      <c r="B155" s="575"/>
      <c r="C155" s="510"/>
      <c r="D155" s="125" t="s">
        <v>425</v>
      </c>
      <c r="E155" s="30" t="s">
        <v>426</v>
      </c>
      <c r="F155" s="30" t="s">
        <v>427</v>
      </c>
      <c r="G155" s="73" t="s">
        <v>428</v>
      </c>
      <c r="H155" s="445"/>
    </row>
    <row r="156" spans="2:8">
      <c r="B156" s="575"/>
      <c r="C156" s="444" t="s">
        <v>429</v>
      </c>
      <c r="D156" s="125" t="s">
        <v>430</v>
      </c>
      <c r="E156" s="444" t="s">
        <v>431</v>
      </c>
      <c r="F156" s="444" t="s">
        <v>432</v>
      </c>
      <c r="G156" s="501" t="s">
        <v>433</v>
      </c>
      <c r="H156" s="501" t="s">
        <v>434</v>
      </c>
    </row>
    <row r="157" spans="2:8">
      <c r="B157" s="575"/>
      <c r="C157" s="444"/>
      <c r="D157" s="125" t="s">
        <v>435</v>
      </c>
      <c r="E157" s="529"/>
      <c r="F157" s="529"/>
      <c r="G157" s="529"/>
      <c r="H157" s="501"/>
    </row>
    <row r="158" spans="2:8" ht="29">
      <c r="B158" s="575"/>
      <c r="C158" s="444"/>
      <c r="D158" s="125" t="s">
        <v>436</v>
      </c>
      <c r="E158" s="444" t="s">
        <v>437</v>
      </c>
      <c r="F158" s="30" t="s">
        <v>438</v>
      </c>
      <c r="G158" s="501" t="s">
        <v>439</v>
      </c>
      <c r="H158" s="501"/>
    </row>
    <row r="159" spans="2:8">
      <c r="B159" s="575"/>
      <c r="C159" s="510"/>
      <c r="D159" s="125" t="s">
        <v>55</v>
      </c>
      <c r="E159" s="529"/>
      <c r="F159" s="30" t="s">
        <v>440</v>
      </c>
      <c r="G159" s="529"/>
      <c r="H159" s="501"/>
    </row>
    <row r="160" spans="2:8">
      <c r="B160" s="575"/>
      <c r="C160" s="510"/>
      <c r="D160" s="125" t="s">
        <v>439</v>
      </c>
      <c r="E160" s="45"/>
      <c r="F160" s="45"/>
      <c r="G160" s="529"/>
      <c r="H160" s="501"/>
    </row>
    <row r="161" spans="2:8" ht="29">
      <c r="B161" s="575"/>
      <c r="C161" s="446" t="s">
        <v>441</v>
      </c>
      <c r="D161" s="125" t="s">
        <v>436</v>
      </c>
      <c r="E161" s="444" t="s">
        <v>442</v>
      </c>
      <c r="F161" s="30" t="s">
        <v>443</v>
      </c>
      <c r="G161" s="501" t="s">
        <v>444</v>
      </c>
      <c r="H161" s="501"/>
    </row>
    <row r="162" spans="2:8">
      <c r="B162" s="575"/>
      <c r="C162" s="446"/>
      <c r="D162" s="125" t="s">
        <v>55</v>
      </c>
      <c r="E162" s="529"/>
      <c r="F162" s="30" t="s">
        <v>445</v>
      </c>
      <c r="G162" s="529"/>
      <c r="H162" s="501"/>
    </row>
    <row r="163" spans="2:8" ht="43.5">
      <c r="B163" s="575"/>
      <c r="C163" s="446"/>
      <c r="D163" s="125" t="s">
        <v>446</v>
      </c>
      <c r="E163" s="127" t="s">
        <v>447</v>
      </c>
      <c r="F163" s="30" t="s">
        <v>448</v>
      </c>
      <c r="G163" s="529"/>
      <c r="H163" s="501"/>
    </row>
    <row r="164" spans="2:8">
      <c r="C164" s="163" t="s">
        <v>449</v>
      </c>
      <c r="D164" s="164" t="s">
        <v>3</v>
      </c>
      <c r="E164" s="148"/>
      <c r="F164" s="148"/>
      <c r="G164" s="148"/>
      <c r="H164" s="149"/>
    </row>
    <row r="165" spans="2:8">
      <c r="C165" s="587" t="s">
        <v>450</v>
      </c>
      <c r="D165" s="447"/>
      <c r="E165" s="447"/>
      <c r="F165" s="447"/>
      <c r="G165" s="447"/>
      <c r="H165" s="447"/>
    </row>
    <row r="166" spans="2:8" ht="66.75" customHeight="1">
      <c r="B166" s="575" t="s">
        <v>725</v>
      </c>
      <c r="C166" s="444" t="s">
        <v>451</v>
      </c>
      <c r="D166" s="72" t="s">
        <v>452</v>
      </c>
      <c r="E166" s="444" t="s">
        <v>453</v>
      </c>
      <c r="F166" s="30" t="s">
        <v>454</v>
      </c>
      <c r="G166" s="30" t="s">
        <v>455</v>
      </c>
      <c r="H166" s="501" t="s">
        <v>456</v>
      </c>
    </row>
    <row r="167" spans="2:8" ht="66.75" customHeight="1">
      <c r="B167" s="575"/>
      <c r="C167" s="447"/>
      <c r="D167" s="72" t="s">
        <v>457</v>
      </c>
      <c r="E167" s="501"/>
      <c r="F167" s="30" t="s">
        <v>458</v>
      </c>
      <c r="G167" s="30" t="s">
        <v>459</v>
      </c>
      <c r="H167" s="445"/>
    </row>
    <row r="168" spans="2:8" ht="43.5">
      <c r="B168" s="575"/>
      <c r="C168" s="447"/>
      <c r="D168" s="72" t="s">
        <v>460</v>
      </c>
      <c r="E168" s="30" t="s">
        <v>461</v>
      </c>
      <c r="F168" s="30" t="s">
        <v>462</v>
      </c>
      <c r="G168" s="30" t="s">
        <v>463</v>
      </c>
      <c r="H168" s="445"/>
    </row>
    <row r="169" spans="2:8" ht="29">
      <c r="B169" s="575"/>
      <c r="C169" s="447"/>
      <c r="D169" s="72" t="s">
        <v>464</v>
      </c>
      <c r="E169" s="444" t="s">
        <v>465</v>
      </c>
      <c r="F169" s="30" t="s">
        <v>466</v>
      </c>
      <c r="G169" s="30" t="s">
        <v>467</v>
      </c>
      <c r="H169" s="445"/>
    </row>
    <row r="170" spans="2:8">
      <c r="B170" s="575"/>
      <c r="C170" s="447"/>
      <c r="D170" s="72" t="s">
        <v>457</v>
      </c>
      <c r="E170" s="501"/>
      <c r="F170" s="30" t="s">
        <v>458</v>
      </c>
      <c r="G170" s="30" t="s">
        <v>459</v>
      </c>
      <c r="H170" s="445"/>
    </row>
    <row r="171" spans="2:8">
      <c r="B171" s="575"/>
      <c r="C171" s="447"/>
      <c r="D171" s="72" t="s">
        <v>468</v>
      </c>
      <c r="E171" s="30" t="s">
        <v>469</v>
      </c>
      <c r="F171" s="30" t="s">
        <v>470</v>
      </c>
      <c r="G171" s="30" t="s">
        <v>471</v>
      </c>
      <c r="H171" s="445"/>
    </row>
    <row r="172" spans="2:8" ht="29">
      <c r="B172" s="575"/>
      <c r="C172" s="447"/>
      <c r="D172" s="72" t="s">
        <v>472</v>
      </c>
      <c r="E172" s="30" t="s">
        <v>473</v>
      </c>
      <c r="F172" s="30" t="s">
        <v>474</v>
      </c>
      <c r="G172" s="30" t="s">
        <v>475</v>
      </c>
      <c r="H172" s="445"/>
    </row>
    <row r="173" spans="2:8">
      <c r="B173" s="575"/>
      <c r="C173" s="447"/>
      <c r="D173" s="72" t="s">
        <v>476</v>
      </c>
      <c r="E173" s="444" t="s">
        <v>477</v>
      </c>
      <c r="F173" s="30" t="s">
        <v>478</v>
      </c>
      <c r="G173" s="30" t="s">
        <v>479</v>
      </c>
      <c r="H173" s="445"/>
    </row>
    <row r="174" spans="2:8">
      <c r="B174" s="575"/>
      <c r="C174" s="447"/>
      <c r="D174" s="72" t="s">
        <v>480</v>
      </c>
      <c r="E174" s="501"/>
      <c r="F174" s="30" t="s">
        <v>481</v>
      </c>
      <c r="G174" s="30" t="s">
        <v>482</v>
      </c>
      <c r="H174" s="445"/>
    </row>
    <row r="175" spans="2:8" ht="29">
      <c r="B175" s="575"/>
      <c r="C175" s="447"/>
      <c r="D175" s="72" t="s">
        <v>483</v>
      </c>
      <c r="E175" s="444" t="s">
        <v>484</v>
      </c>
      <c r="F175" s="45" t="s">
        <v>485</v>
      </c>
      <c r="G175" s="30" t="s">
        <v>486</v>
      </c>
      <c r="H175" s="445"/>
    </row>
    <row r="176" spans="2:8">
      <c r="B176" s="575"/>
      <c r="C176" s="447"/>
      <c r="D176" s="127" t="s">
        <v>487</v>
      </c>
      <c r="E176" s="529"/>
      <c r="F176" s="30" t="s">
        <v>488</v>
      </c>
      <c r="G176" s="45" t="s">
        <v>489</v>
      </c>
      <c r="H176" s="445"/>
    </row>
    <row r="177" spans="1:8" s="5" customFormat="1" ht="43.5">
      <c r="B177" s="575"/>
      <c r="C177" s="447"/>
      <c r="D177" s="116" t="s">
        <v>490</v>
      </c>
      <c r="E177" s="45" t="s">
        <v>491</v>
      </c>
      <c r="F177" s="45" t="s">
        <v>492</v>
      </c>
      <c r="G177" s="30" t="s">
        <v>493</v>
      </c>
      <c r="H177" s="445"/>
    </row>
    <row r="178" spans="1:8">
      <c r="C178" s="586" t="s">
        <v>494</v>
      </c>
      <c r="D178" s="447"/>
      <c r="E178" s="447"/>
      <c r="F178" s="447"/>
      <c r="G178" s="447"/>
      <c r="H178" s="447"/>
    </row>
    <row r="179" spans="1:8">
      <c r="C179" s="583" t="s">
        <v>495</v>
      </c>
      <c r="D179" s="583"/>
      <c r="E179" s="583"/>
      <c r="F179" s="583"/>
      <c r="G179" s="583"/>
      <c r="H179" s="583"/>
    </row>
    <row r="180" spans="1:8" ht="29">
      <c r="B180" s="575" t="s">
        <v>726</v>
      </c>
      <c r="C180" s="444" t="s">
        <v>496</v>
      </c>
      <c r="D180" s="30" t="s">
        <v>497</v>
      </c>
      <c r="E180" s="30" t="s">
        <v>498</v>
      </c>
      <c r="F180" s="444" t="s">
        <v>499</v>
      </c>
      <c r="G180" s="444" t="s">
        <v>500</v>
      </c>
      <c r="H180" s="444" t="s">
        <v>501</v>
      </c>
    </row>
    <row r="181" spans="1:8" ht="29">
      <c r="B181" s="575"/>
      <c r="C181" s="445"/>
      <c r="D181" s="72" t="s">
        <v>502</v>
      </c>
      <c r="E181" s="30" t="s">
        <v>503</v>
      </c>
      <c r="F181" s="501"/>
      <c r="G181" s="501"/>
      <c r="H181" s="445"/>
    </row>
    <row r="182" spans="1:8" ht="29">
      <c r="B182" s="575"/>
      <c r="C182" s="445"/>
      <c r="D182" s="72" t="s">
        <v>504</v>
      </c>
      <c r="E182" s="30" t="s">
        <v>505</v>
      </c>
      <c r="F182" s="30" t="s">
        <v>506</v>
      </c>
      <c r="G182" s="30" t="s">
        <v>507</v>
      </c>
      <c r="H182" s="445"/>
    </row>
    <row r="183" spans="1:8">
      <c r="B183" s="575"/>
      <c r="C183" s="444" t="s">
        <v>508</v>
      </c>
      <c r="D183" s="72" t="s">
        <v>509</v>
      </c>
      <c r="E183" s="30" t="s">
        <v>510</v>
      </c>
      <c r="F183" s="30" t="s">
        <v>511</v>
      </c>
      <c r="G183" s="30" t="s">
        <v>512</v>
      </c>
      <c r="H183" s="445"/>
    </row>
    <row r="184" spans="1:8">
      <c r="B184" s="575"/>
      <c r="C184" s="445"/>
      <c r="D184" s="72" t="s">
        <v>513</v>
      </c>
      <c r="E184" s="444" t="s">
        <v>514</v>
      </c>
      <c r="F184" s="30" t="s">
        <v>515</v>
      </c>
      <c r="G184" s="444" t="s">
        <v>516</v>
      </c>
      <c r="H184" s="445"/>
    </row>
    <row r="185" spans="1:8">
      <c r="B185" s="575"/>
      <c r="C185" s="445"/>
      <c r="D185" s="72" t="s">
        <v>82</v>
      </c>
      <c r="E185" s="501"/>
      <c r="F185" s="30" t="s">
        <v>517</v>
      </c>
      <c r="G185" s="501"/>
      <c r="H185" s="445"/>
    </row>
    <row r="186" spans="1:8">
      <c r="C186" s="524" t="s">
        <v>518</v>
      </c>
      <c r="D186" s="525"/>
      <c r="E186" s="525"/>
      <c r="F186" s="525"/>
      <c r="G186" s="525"/>
      <c r="H186" s="447"/>
    </row>
    <row r="187" spans="1:8">
      <c r="C187" s="581" t="s">
        <v>519</v>
      </c>
      <c r="D187" s="445"/>
      <c r="E187" s="137"/>
      <c r="F187" s="138"/>
      <c r="G187" s="528"/>
      <c r="H187" s="529"/>
    </row>
    <row r="188" spans="1:8">
      <c r="C188" s="582" t="s">
        <v>520</v>
      </c>
      <c r="D188" s="445"/>
      <c r="E188" s="139"/>
      <c r="F188" s="531" t="s">
        <v>3</v>
      </c>
      <c r="G188" s="447"/>
      <c r="H188" s="447"/>
    </row>
    <row r="189" spans="1:8" ht="29">
      <c r="B189" s="575" t="s">
        <v>727</v>
      </c>
      <c r="C189" s="446" t="s">
        <v>521</v>
      </c>
      <c r="D189" s="72" t="s">
        <v>522</v>
      </c>
      <c r="E189" s="30" t="s">
        <v>523</v>
      </c>
      <c r="F189" s="30" t="s">
        <v>524</v>
      </c>
      <c r="G189" s="129" t="s">
        <v>525</v>
      </c>
      <c r="H189" s="501" t="s">
        <v>526</v>
      </c>
    </row>
    <row r="190" spans="1:8" ht="43.5">
      <c r="B190" s="575"/>
      <c r="C190" s="445"/>
      <c r="D190" s="72" t="s">
        <v>527</v>
      </c>
      <c r="E190" s="127" t="s">
        <v>528</v>
      </c>
      <c r="F190" s="30" t="s">
        <v>529</v>
      </c>
      <c r="G190" s="129" t="s">
        <v>530</v>
      </c>
      <c r="H190" s="501"/>
    </row>
    <row r="191" spans="1:8" ht="29">
      <c r="B191" s="575"/>
      <c r="C191" s="445"/>
      <c r="D191" s="72" t="s">
        <v>531</v>
      </c>
      <c r="E191" s="30" t="s">
        <v>532</v>
      </c>
      <c r="F191" s="117" t="s">
        <v>533</v>
      </c>
      <c r="G191" s="10" t="s">
        <v>534</v>
      </c>
      <c r="H191" s="501"/>
    </row>
    <row r="192" spans="1:8" ht="43.5">
      <c r="A192" s="113"/>
      <c r="B192" s="575"/>
      <c r="C192" s="445"/>
      <c r="D192" s="72" t="s">
        <v>535</v>
      </c>
      <c r="E192" s="127" t="s">
        <v>536</v>
      </c>
      <c r="F192" s="117" t="s">
        <v>537</v>
      </c>
      <c r="G192" s="10" t="s">
        <v>538</v>
      </c>
      <c r="H192" s="501"/>
    </row>
    <row r="193" spans="1:8">
      <c r="A193" s="113"/>
      <c r="B193" s="575"/>
      <c r="C193" s="445"/>
      <c r="D193" s="72" t="s">
        <v>55</v>
      </c>
      <c r="E193" s="30"/>
      <c r="F193" s="30" t="s">
        <v>539</v>
      </c>
      <c r="G193" s="129" t="s">
        <v>540</v>
      </c>
      <c r="H193" s="501"/>
    </row>
    <row r="194" spans="1:8">
      <c r="A194" s="113"/>
      <c r="B194" s="575"/>
      <c r="C194" s="445"/>
      <c r="D194" s="72" t="s">
        <v>541</v>
      </c>
      <c r="E194" s="30"/>
      <c r="F194" s="30" t="s">
        <v>542</v>
      </c>
      <c r="G194" s="129" t="s">
        <v>543</v>
      </c>
      <c r="H194" s="501"/>
    </row>
    <row r="195" spans="1:8" ht="29">
      <c r="A195" s="113"/>
      <c r="B195" s="575"/>
      <c r="C195" s="445"/>
      <c r="D195" s="72" t="s">
        <v>544</v>
      </c>
      <c r="E195" s="30" t="s">
        <v>545</v>
      </c>
      <c r="F195" s="30" t="s">
        <v>546</v>
      </c>
      <c r="G195" s="129" t="s">
        <v>547</v>
      </c>
      <c r="H195" s="501"/>
    </row>
    <row r="196" spans="1:8" ht="29">
      <c r="A196" s="113"/>
      <c r="B196" s="575"/>
      <c r="C196" s="445"/>
      <c r="D196" s="72" t="s">
        <v>548</v>
      </c>
      <c r="E196" s="30" t="s">
        <v>3</v>
      </c>
      <c r="F196" s="30" t="s">
        <v>549</v>
      </c>
      <c r="G196" s="129" t="s">
        <v>550</v>
      </c>
      <c r="H196" s="501"/>
    </row>
    <row r="197" spans="1:8">
      <c r="A197" s="113"/>
      <c r="B197" s="575"/>
      <c r="C197" s="445"/>
      <c r="D197" s="72" t="s">
        <v>551</v>
      </c>
      <c r="E197" s="30"/>
      <c r="F197" s="30" t="s">
        <v>552</v>
      </c>
      <c r="G197" s="129" t="s">
        <v>553</v>
      </c>
      <c r="H197" s="501"/>
    </row>
    <row r="198" spans="1:8">
      <c r="A198" s="113"/>
      <c r="B198" s="575"/>
      <c r="C198" s="445"/>
      <c r="D198" s="72" t="s">
        <v>554</v>
      </c>
      <c r="E198" s="30"/>
      <c r="F198" s="30" t="s">
        <v>555</v>
      </c>
      <c r="G198" s="129" t="s">
        <v>556</v>
      </c>
      <c r="H198" s="501"/>
    </row>
    <row r="199" spans="1:8">
      <c r="A199" s="113"/>
      <c r="B199" s="575"/>
      <c r="C199" s="445"/>
      <c r="D199" s="72" t="s">
        <v>557</v>
      </c>
      <c r="E199" s="30"/>
      <c r="F199" s="30" t="s">
        <v>558</v>
      </c>
      <c r="G199" s="129" t="s">
        <v>559</v>
      </c>
      <c r="H199" s="501"/>
    </row>
    <row r="200" spans="1:8">
      <c r="A200" s="113"/>
      <c r="B200" s="575"/>
      <c r="C200" s="446" t="s">
        <v>560</v>
      </c>
      <c r="D200" s="72" t="s">
        <v>561</v>
      </c>
      <c r="E200" s="30" t="s">
        <v>562</v>
      </c>
      <c r="F200" s="30" t="s">
        <v>563</v>
      </c>
      <c r="G200" s="129" t="s">
        <v>564</v>
      </c>
      <c r="H200" s="501" t="s">
        <v>565</v>
      </c>
    </row>
    <row r="201" spans="1:8">
      <c r="A201" s="113"/>
      <c r="B201" s="575"/>
      <c r="C201" s="445"/>
      <c r="D201" s="72" t="s">
        <v>566</v>
      </c>
      <c r="E201" s="30" t="s">
        <v>567</v>
      </c>
      <c r="F201" s="30" t="s">
        <v>568</v>
      </c>
      <c r="G201" s="129" t="s">
        <v>569</v>
      </c>
      <c r="H201" s="501"/>
    </row>
    <row r="202" spans="1:8">
      <c r="A202" s="113"/>
      <c r="B202" s="575"/>
      <c r="C202" s="445"/>
      <c r="D202" s="72" t="s">
        <v>570</v>
      </c>
      <c r="E202" s="30" t="s">
        <v>571</v>
      </c>
      <c r="F202" s="30" t="s">
        <v>572</v>
      </c>
      <c r="G202" s="129" t="s">
        <v>573</v>
      </c>
      <c r="H202" s="501"/>
    </row>
    <row r="203" spans="1:8" ht="43.5">
      <c r="A203" s="113"/>
      <c r="B203" s="575"/>
      <c r="C203" s="445"/>
      <c r="D203" s="30" t="s">
        <v>574</v>
      </c>
      <c r="E203" s="30"/>
      <c r="F203" s="30" t="s">
        <v>575</v>
      </c>
      <c r="G203" s="129" t="s">
        <v>576</v>
      </c>
      <c r="H203" s="501"/>
    </row>
    <row r="204" spans="1:8" ht="43.5">
      <c r="A204" s="113"/>
      <c r="B204" s="575"/>
      <c r="C204" s="445"/>
      <c r="D204" s="72" t="s">
        <v>577</v>
      </c>
      <c r="E204" s="30" t="s">
        <v>578</v>
      </c>
      <c r="F204" s="30" t="s">
        <v>579</v>
      </c>
      <c r="G204" s="129" t="s">
        <v>580</v>
      </c>
      <c r="H204" s="501"/>
    </row>
    <row r="205" spans="1:8">
      <c r="A205" s="113"/>
      <c r="B205" s="575"/>
      <c r="C205" s="445"/>
      <c r="D205" s="72" t="s">
        <v>566</v>
      </c>
      <c r="E205" s="30" t="s">
        <v>581</v>
      </c>
      <c r="F205" s="30" t="s">
        <v>582</v>
      </c>
      <c r="G205" s="129" t="s">
        <v>583</v>
      </c>
      <c r="H205" s="501"/>
    </row>
    <row r="206" spans="1:8">
      <c r="A206" s="113"/>
      <c r="B206" s="575"/>
      <c r="C206" s="445"/>
      <c r="D206" s="72" t="s">
        <v>570</v>
      </c>
      <c r="E206" s="30" t="s">
        <v>584</v>
      </c>
      <c r="F206" s="30" t="s">
        <v>585</v>
      </c>
      <c r="G206" s="129" t="s">
        <v>586</v>
      </c>
      <c r="H206" s="501"/>
    </row>
    <row r="207" spans="1:8" ht="29">
      <c r="A207" s="113"/>
      <c r="B207" s="575"/>
      <c r="C207" s="445"/>
      <c r="D207" s="72" t="s">
        <v>587</v>
      </c>
      <c r="E207" s="30" t="s">
        <v>588</v>
      </c>
      <c r="F207" s="30" t="s">
        <v>589</v>
      </c>
      <c r="G207" s="129" t="s">
        <v>590</v>
      </c>
      <c r="H207" s="501"/>
    </row>
    <row r="208" spans="1:8" ht="29">
      <c r="A208" s="113"/>
      <c r="B208" s="575"/>
      <c r="C208" s="72" t="s">
        <v>591</v>
      </c>
      <c r="D208" s="72" t="s">
        <v>592</v>
      </c>
      <c r="E208" s="30" t="s">
        <v>593</v>
      </c>
      <c r="F208" s="30" t="s">
        <v>594</v>
      </c>
      <c r="G208" s="129" t="s">
        <v>595</v>
      </c>
      <c r="H208" s="529"/>
    </row>
    <row r="209" spans="1:9" ht="29">
      <c r="A209" s="101"/>
      <c r="B209" s="575"/>
      <c r="C209" s="444" t="s">
        <v>596</v>
      </c>
      <c r="D209" s="72" t="s">
        <v>597</v>
      </c>
      <c r="E209" s="30" t="s">
        <v>598</v>
      </c>
      <c r="F209" s="444" t="s">
        <v>599</v>
      </c>
      <c r="G209" s="334" t="s">
        <v>600</v>
      </c>
      <c r="H209" s="529"/>
    </row>
    <row r="210" spans="1:9">
      <c r="A210" s="101"/>
      <c r="B210" s="575"/>
      <c r="C210" s="445"/>
      <c r="D210" s="72" t="s">
        <v>601</v>
      </c>
      <c r="E210" s="30" t="s">
        <v>600</v>
      </c>
      <c r="F210" s="501"/>
      <c r="G210" s="334"/>
      <c r="H210" s="529"/>
    </row>
    <row r="211" spans="1:9" ht="43.5">
      <c r="A211" s="101"/>
      <c r="B211" s="575"/>
      <c r="C211" s="445"/>
      <c r="D211" s="72" t="s">
        <v>602</v>
      </c>
      <c r="E211" s="30" t="s">
        <v>603</v>
      </c>
      <c r="F211" s="444" t="s">
        <v>604</v>
      </c>
      <c r="G211" s="334" t="s">
        <v>605</v>
      </c>
      <c r="H211" s="529"/>
    </row>
    <row r="212" spans="1:9">
      <c r="A212" s="101"/>
      <c r="B212" s="575"/>
      <c r="C212" s="445"/>
      <c r="D212" s="72" t="s">
        <v>601</v>
      </c>
      <c r="E212" s="30" t="s">
        <v>600</v>
      </c>
      <c r="F212" s="501"/>
      <c r="G212" s="334"/>
      <c r="H212" s="529"/>
    </row>
    <row r="213" spans="1:9">
      <c r="A213" s="102"/>
      <c r="B213" s="575"/>
      <c r="C213" s="446" t="s">
        <v>606</v>
      </c>
      <c r="D213" s="72" t="s">
        <v>607</v>
      </c>
      <c r="E213" s="30" t="s">
        <v>608</v>
      </c>
      <c r="F213" s="444" t="s">
        <v>609</v>
      </c>
      <c r="G213" s="580" t="s">
        <v>610</v>
      </c>
      <c r="H213" s="529"/>
    </row>
    <row r="214" spans="1:9">
      <c r="A214" s="102"/>
      <c r="B214" s="575"/>
      <c r="C214" s="445"/>
      <c r="D214" s="72" t="s">
        <v>611</v>
      </c>
      <c r="E214" s="30" t="s">
        <v>612</v>
      </c>
      <c r="F214" s="501"/>
      <c r="G214" s="580"/>
      <c r="H214" s="529"/>
    </row>
    <row r="215" spans="1:9">
      <c r="A215" s="102"/>
      <c r="B215" s="575"/>
      <c r="C215" s="445"/>
      <c r="D215" s="72" t="s">
        <v>613</v>
      </c>
      <c r="E215" s="30" t="s">
        <v>614</v>
      </c>
      <c r="F215" s="501"/>
      <c r="G215" s="580"/>
      <c r="H215" s="529"/>
    </row>
    <row r="216" spans="1:9" ht="43.5">
      <c r="A216" s="102"/>
      <c r="B216" s="575"/>
      <c r="C216" s="445"/>
      <c r="D216" s="130" t="s">
        <v>446</v>
      </c>
      <c r="E216" s="30" t="s">
        <v>615</v>
      </c>
      <c r="F216" s="30" t="s">
        <v>616</v>
      </c>
      <c r="G216" s="129" t="s">
        <v>617</v>
      </c>
      <c r="H216" s="529"/>
    </row>
    <row r="217" spans="1:9">
      <c r="A217" s="102"/>
      <c r="B217" s="575"/>
      <c r="C217" s="72" t="s">
        <v>618</v>
      </c>
      <c r="D217" s="72" t="s">
        <v>55</v>
      </c>
      <c r="E217" s="30" t="s">
        <v>619</v>
      </c>
      <c r="F217" s="30" t="s">
        <v>620</v>
      </c>
      <c r="G217" s="129" t="s">
        <v>621</v>
      </c>
      <c r="H217" s="529"/>
    </row>
    <row r="218" spans="1:9">
      <c r="C218" s="163" t="s">
        <v>622</v>
      </c>
      <c r="D218" s="151"/>
      <c r="E218" s="161"/>
      <c r="F218" s="161"/>
      <c r="G218" s="584"/>
      <c r="H218" s="447"/>
      <c r="I218" t="s">
        <v>3</v>
      </c>
    </row>
    <row r="219" spans="1:9">
      <c r="C219" s="582" t="s">
        <v>623</v>
      </c>
      <c r="D219" s="583"/>
      <c r="E219" s="583"/>
      <c r="F219" s="583"/>
      <c r="G219" s="583"/>
      <c r="H219" s="447"/>
    </row>
    <row r="220" spans="1:9" ht="29">
      <c r="B220" s="575" t="s">
        <v>728</v>
      </c>
      <c r="C220" s="501" t="s">
        <v>624</v>
      </c>
      <c r="D220" s="121" t="s">
        <v>625</v>
      </c>
      <c r="E220" s="10" t="s">
        <v>626</v>
      </c>
      <c r="F220" s="334" t="s">
        <v>627</v>
      </c>
      <c r="G220" s="501" t="s">
        <v>627</v>
      </c>
      <c r="H220" s="501" t="s">
        <v>628</v>
      </c>
    </row>
    <row r="221" spans="1:9">
      <c r="B221" s="575"/>
      <c r="C221" s="445"/>
      <c r="D221" s="131" t="s">
        <v>629</v>
      </c>
      <c r="E221" s="10" t="s">
        <v>630</v>
      </c>
      <c r="F221" s="585"/>
      <c r="G221" s="501"/>
      <c r="H221" s="501"/>
    </row>
    <row r="222" spans="1:9" ht="29">
      <c r="B222" s="575"/>
      <c r="C222" s="445"/>
      <c r="D222" s="132" t="s">
        <v>631</v>
      </c>
      <c r="E222" s="10" t="s">
        <v>632</v>
      </c>
      <c r="F222" s="129" t="s">
        <v>633</v>
      </c>
      <c r="G222" s="10" t="s">
        <v>633</v>
      </c>
      <c r="H222" s="501"/>
    </row>
    <row r="223" spans="1:9" ht="29">
      <c r="B223" s="575"/>
      <c r="C223" s="445"/>
      <c r="D223" s="119" t="s">
        <v>634</v>
      </c>
      <c r="E223" s="18" t="s">
        <v>635</v>
      </c>
      <c r="F223" s="133" t="s">
        <v>635</v>
      </c>
      <c r="G223" s="10" t="s">
        <v>635</v>
      </c>
      <c r="H223" s="501"/>
    </row>
    <row r="224" spans="1:9">
      <c r="B224" s="575"/>
      <c r="C224" s="445"/>
      <c r="D224" s="119" t="s">
        <v>636</v>
      </c>
      <c r="E224" s="18" t="s">
        <v>637</v>
      </c>
      <c r="F224" s="133" t="s">
        <v>637</v>
      </c>
      <c r="G224" s="10" t="s">
        <v>637</v>
      </c>
      <c r="H224" s="501"/>
    </row>
    <row r="225" spans="2:8">
      <c r="B225" s="575"/>
      <c r="C225" s="501" t="s">
        <v>638</v>
      </c>
      <c r="D225" s="123" t="s">
        <v>639</v>
      </c>
      <c r="E225" s="501" t="s">
        <v>640</v>
      </c>
      <c r="F225" s="334" t="s">
        <v>640</v>
      </c>
      <c r="G225" s="501" t="s">
        <v>640</v>
      </c>
      <c r="H225" s="501"/>
    </row>
    <row r="226" spans="2:8">
      <c r="B226" s="575"/>
      <c r="C226" s="445"/>
      <c r="D226" s="123" t="s">
        <v>641</v>
      </c>
      <c r="E226" s="501"/>
      <c r="F226" s="334"/>
      <c r="G226" s="501"/>
      <c r="H226" s="501"/>
    </row>
    <row r="227" spans="2:8" ht="29">
      <c r="B227" s="575"/>
      <c r="C227" s="501" t="s">
        <v>642</v>
      </c>
      <c r="D227" s="123" t="s">
        <v>643</v>
      </c>
      <c r="E227" s="18" t="s">
        <v>644</v>
      </c>
      <c r="F227" s="133" t="s">
        <v>645</v>
      </c>
      <c r="G227" s="10" t="s">
        <v>646</v>
      </c>
      <c r="H227" s="501"/>
    </row>
    <row r="228" spans="2:8" ht="29">
      <c r="B228" s="575"/>
      <c r="C228" s="445"/>
      <c r="D228" s="123" t="s">
        <v>647</v>
      </c>
      <c r="E228" s="18" t="s">
        <v>648</v>
      </c>
      <c r="F228" s="133" t="s">
        <v>649</v>
      </c>
      <c r="G228" s="10" t="s">
        <v>649</v>
      </c>
      <c r="H228" s="501"/>
    </row>
    <row r="229" spans="2:8">
      <c r="B229" s="575"/>
      <c r="C229" s="445"/>
      <c r="D229" s="123" t="s">
        <v>650</v>
      </c>
      <c r="E229" s="18" t="s">
        <v>651</v>
      </c>
      <c r="F229" s="133" t="s">
        <v>651</v>
      </c>
      <c r="G229" s="10" t="s">
        <v>651</v>
      </c>
      <c r="H229" s="501"/>
    </row>
    <row r="230" spans="2:8">
      <c r="B230" s="575"/>
      <c r="C230" s="445"/>
      <c r="D230" s="123" t="s">
        <v>652</v>
      </c>
      <c r="E230" s="18" t="s">
        <v>653</v>
      </c>
      <c r="F230" s="133" t="s">
        <v>653</v>
      </c>
      <c r="G230" s="10" t="s">
        <v>653</v>
      </c>
      <c r="H230" s="501"/>
    </row>
    <row r="231" spans="2:8" ht="29">
      <c r="B231" s="575"/>
      <c r="C231" s="501" t="s">
        <v>654</v>
      </c>
      <c r="D231" s="121" t="s">
        <v>655</v>
      </c>
      <c r="E231" s="10" t="s">
        <v>656</v>
      </c>
      <c r="F231" s="129" t="s">
        <v>656</v>
      </c>
      <c r="G231" s="10" t="s">
        <v>656</v>
      </c>
      <c r="H231" s="501"/>
    </row>
    <row r="232" spans="2:8" ht="29">
      <c r="B232" s="575"/>
      <c r="C232" s="445"/>
      <c r="D232" s="121" t="s">
        <v>657</v>
      </c>
      <c r="E232" s="10" t="s">
        <v>658</v>
      </c>
      <c r="F232" s="129" t="s">
        <v>658</v>
      </c>
      <c r="G232" s="10" t="s">
        <v>658</v>
      </c>
      <c r="H232" s="501"/>
    </row>
    <row r="233" spans="2:8" ht="29">
      <c r="B233" s="575"/>
      <c r="C233" s="445"/>
      <c r="D233" s="121" t="s">
        <v>659</v>
      </c>
      <c r="E233" s="10" t="s">
        <v>660</v>
      </c>
      <c r="F233" s="129" t="s">
        <v>660</v>
      </c>
      <c r="G233" s="10" t="s">
        <v>660</v>
      </c>
      <c r="H233" s="501"/>
    </row>
    <row r="234" spans="2:8">
      <c r="C234" s="163" t="s">
        <v>661</v>
      </c>
      <c r="D234" s="165"/>
      <c r="E234" s="166"/>
      <c r="F234" s="167"/>
      <c r="G234" s="579"/>
      <c r="H234" s="445"/>
    </row>
    <row r="235" spans="2:8">
      <c r="C235" s="583" t="s">
        <v>662</v>
      </c>
      <c r="D235" s="548"/>
      <c r="E235" s="548"/>
      <c r="F235" s="548"/>
      <c r="G235" s="548"/>
      <c r="H235" s="63"/>
    </row>
    <row r="236" spans="2:8" s="5" customFormat="1">
      <c r="B236" s="575" t="s">
        <v>729</v>
      </c>
      <c r="C236" s="444" t="s">
        <v>663</v>
      </c>
      <c r="D236" s="72" t="s">
        <v>664</v>
      </c>
      <c r="E236" s="30" t="s">
        <v>665</v>
      </c>
      <c r="F236" s="30" t="s">
        <v>666</v>
      </c>
      <c r="G236" s="10" t="s">
        <v>666</v>
      </c>
      <c r="H236" s="501" t="s">
        <v>667</v>
      </c>
    </row>
    <row r="237" spans="2:8" ht="29">
      <c r="B237" s="575"/>
      <c r="C237" s="507"/>
      <c r="D237" s="30" t="s">
        <v>668</v>
      </c>
      <c r="E237" s="30" t="s">
        <v>669</v>
      </c>
      <c r="F237" s="30" t="s">
        <v>670</v>
      </c>
      <c r="G237" s="10" t="s">
        <v>671</v>
      </c>
      <c r="H237" s="445"/>
    </row>
    <row r="238" spans="2:8" ht="29">
      <c r="B238" s="575"/>
      <c r="C238" s="444" t="s">
        <v>672</v>
      </c>
      <c r="D238" s="72" t="s">
        <v>673</v>
      </c>
      <c r="E238" s="30" t="s">
        <v>674</v>
      </c>
      <c r="F238" s="30" t="s">
        <v>675</v>
      </c>
      <c r="G238" s="10" t="s">
        <v>676</v>
      </c>
      <c r="H238" s="445"/>
    </row>
    <row r="239" spans="2:8">
      <c r="B239" s="575"/>
      <c r="C239" s="444"/>
      <c r="D239" s="72" t="s">
        <v>677</v>
      </c>
      <c r="E239" s="45" t="s">
        <v>678</v>
      </c>
      <c r="F239" s="30" t="s">
        <v>679</v>
      </c>
      <c r="G239" s="73" t="s">
        <v>680</v>
      </c>
      <c r="H239" s="445"/>
    </row>
    <row r="240" spans="2:8">
      <c r="B240" s="575"/>
      <c r="C240" s="444"/>
      <c r="D240" s="72" t="s">
        <v>681</v>
      </c>
      <c r="E240" s="45" t="s">
        <v>682</v>
      </c>
      <c r="F240" s="30" t="s">
        <v>683</v>
      </c>
      <c r="G240" s="73" t="s">
        <v>684</v>
      </c>
      <c r="H240" s="445"/>
    </row>
    <row r="241" spans="2:8">
      <c r="B241" s="575"/>
      <c r="C241" s="444"/>
      <c r="D241" s="72" t="s">
        <v>685</v>
      </c>
      <c r="E241" s="30" t="s">
        <v>686</v>
      </c>
      <c r="F241" s="30" t="s">
        <v>687</v>
      </c>
      <c r="G241" s="73" t="s">
        <v>688</v>
      </c>
      <c r="H241" s="445"/>
    </row>
    <row r="242" spans="2:8" ht="29">
      <c r="B242" s="575"/>
      <c r="C242" s="444"/>
      <c r="D242" s="30" t="s">
        <v>689</v>
      </c>
      <c r="E242" s="30" t="s">
        <v>690</v>
      </c>
      <c r="F242" s="30" t="s">
        <v>691</v>
      </c>
      <c r="G242" s="10" t="s">
        <v>691</v>
      </c>
      <c r="H242" s="445"/>
    </row>
    <row r="243" spans="2:8" ht="29">
      <c r="B243" s="575"/>
      <c r="C243" s="446" t="s">
        <v>692</v>
      </c>
      <c r="D243" s="30" t="s">
        <v>693</v>
      </c>
      <c r="E243" s="30" t="s">
        <v>694</v>
      </c>
      <c r="F243" s="30" t="s">
        <v>695</v>
      </c>
      <c r="G243" s="10" t="s">
        <v>696</v>
      </c>
      <c r="H243" s="445"/>
    </row>
    <row r="244" spans="2:8" ht="43.5">
      <c r="B244" s="575"/>
      <c r="C244" s="446"/>
      <c r="D244" s="30" t="s">
        <v>697</v>
      </c>
      <c r="E244" s="30" t="s">
        <v>698</v>
      </c>
      <c r="F244" s="30" t="s">
        <v>699</v>
      </c>
      <c r="G244" s="30" t="s">
        <v>700</v>
      </c>
      <c r="H244" s="445"/>
    </row>
    <row r="245" spans="2:8" ht="29">
      <c r="B245" s="575"/>
      <c r="C245" s="446"/>
      <c r="D245" s="30" t="s">
        <v>82</v>
      </c>
      <c r="E245" s="45" t="s">
        <v>701</v>
      </c>
      <c r="F245" s="30" t="s">
        <v>702</v>
      </c>
      <c r="G245" s="30" t="s">
        <v>702</v>
      </c>
      <c r="H245" s="445"/>
    </row>
    <row r="246" spans="2:8" ht="29">
      <c r="B246" s="575"/>
      <c r="C246" s="446"/>
      <c r="D246" s="30" t="s">
        <v>703</v>
      </c>
      <c r="E246" s="30" t="s">
        <v>704</v>
      </c>
      <c r="F246" s="30" t="s">
        <v>705</v>
      </c>
      <c r="G246" s="30" t="s">
        <v>705</v>
      </c>
      <c r="H246" s="445"/>
    </row>
    <row r="247" spans="2:8" ht="29">
      <c r="B247" s="575"/>
      <c r="C247" s="446"/>
      <c r="D247" s="30" t="s">
        <v>706</v>
      </c>
      <c r="E247" s="45" t="s">
        <v>707</v>
      </c>
      <c r="F247" s="30" t="s">
        <v>708</v>
      </c>
      <c r="G247" s="30" t="s">
        <v>709</v>
      </c>
      <c r="H247" s="445"/>
    </row>
    <row r="248" spans="2:8" ht="29">
      <c r="B248" s="575"/>
      <c r="C248" s="446"/>
      <c r="D248" s="30" t="s">
        <v>710</v>
      </c>
      <c r="E248" s="30"/>
      <c r="F248" s="30" t="s">
        <v>711</v>
      </c>
      <c r="G248" s="30" t="s">
        <v>712</v>
      </c>
      <c r="H248" s="445"/>
    </row>
  </sheetData>
  <mergeCells count="212">
    <mergeCell ref="E15:E16"/>
    <mergeCell ref="F15:F16"/>
    <mergeCell ref="G15:G16"/>
    <mergeCell ref="C18:C22"/>
    <mergeCell ref="E20:E21"/>
    <mergeCell ref="F20:F21"/>
    <mergeCell ref="G20:G21"/>
    <mergeCell ref="C1:H1"/>
    <mergeCell ref="C2:H2"/>
    <mergeCell ref="C3:H3"/>
    <mergeCell ref="C7:H7"/>
    <mergeCell ref="F9:H9"/>
    <mergeCell ref="C10:C17"/>
    <mergeCell ref="E10:E11"/>
    <mergeCell ref="F10:F11"/>
    <mergeCell ref="G10:G11"/>
    <mergeCell ref="H10:H28"/>
    <mergeCell ref="C23:C28"/>
    <mergeCell ref="G29:H29"/>
    <mergeCell ref="C30:D30"/>
    <mergeCell ref="G30:H30"/>
    <mergeCell ref="C31:C33"/>
    <mergeCell ref="H31:H42"/>
    <mergeCell ref="E32:G32"/>
    <mergeCell ref="C34:C36"/>
    <mergeCell ref="E34:E36"/>
    <mergeCell ref="G34:G36"/>
    <mergeCell ref="C37:C38"/>
    <mergeCell ref="E37:E38"/>
    <mergeCell ref="F37:F38"/>
    <mergeCell ref="G37:G39"/>
    <mergeCell ref="C40:C42"/>
    <mergeCell ref="E40:E41"/>
    <mergeCell ref="F40:F41"/>
    <mergeCell ref="G40:G42"/>
    <mergeCell ref="C54:C56"/>
    <mergeCell ref="F54:F56"/>
    <mergeCell ref="G54:G56"/>
    <mergeCell ref="H54:H56"/>
    <mergeCell ref="E55:E56"/>
    <mergeCell ref="C57:H57"/>
    <mergeCell ref="C43:H43"/>
    <mergeCell ref="C44:H44"/>
    <mergeCell ref="C45:C50"/>
    <mergeCell ref="G45:G53"/>
    <mergeCell ref="H45:H53"/>
    <mergeCell ref="F46:F47"/>
    <mergeCell ref="C51:C53"/>
    <mergeCell ref="C59:C61"/>
    <mergeCell ref="E59:E60"/>
    <mergeCell ref="F59:F60"/>
    <mergeCell ref="G59:G60"/>
    <mergeCell ref="H59:H66"/>
    <mergeCell ref="C62:C64"/>
    <mergeCell ref="E62:E63"/>
    <mergeCell ref="F62:F63"/>
    <mergeCell ref="G62:G63"/>
    <mergeCell ref="G73:G74"/>
    <mergeCell ref="E76:H76"/>
    <mergeCell ref="C77:H77"/>
    <mergeCell ref="C78:C79"/>
    <mergeCell ref="E78:E79"/>
    <mergeCell ref="H78:H79"/>
    <mergeCell ref="G67:H67"/>
    <mergeCell ref="G68:H68"/>
    <mergeCell ref="C69:C72"/>
    <mergeCell ref="H69:H75"/>
    <mergeCell ref="E71:E72"/>
    <mergeCell ref="F71:F72"/>
    <mergeCell ref="G71:G72"/>
    <mergeCell ref="C73:C75"/>
    <mergeCell ref="E73:E74"/>
    <mergeCell ref="F73:F74"/>
    <mergeCell ref="C93:H93"/>
    <mergeCell ref="G94:H94"/>
    <mergeCell ref="C95:H95"/>
    <mergeCell ref="C96:C98"/>
    <mergeCell ref="H96:H98"/>
    <mergeCell ref="E97:E98"/>
    <mergeCell ref="C80:H80"/>
    <mergeCell ref="C81:H81"/>
    <mergeCell ref="C82:C85"/>
    <mergeCell ref="H82:H92"/>
    <mergeCell ref="E84:E85"/>
    <mergeCell ref="F84:F85"/>
    <mergeCell ref="G84:G85"/>
    <mergeCell ref="C86:C87"/>
    <mergeCell ref="C88:C92"/>
    <mergeCell ref="E108:E109"/>
    <mergeCell ref="E110:E111"/>
    <mergeCell ref="E112:E113"/>
    <mergeCell ref="E114:E115"/>
    <mergeCell ref="C116:C117"/>
    <mergeCell ref="E116:E117"/>
    <mergeCell ref="C99:C115"/>
    <mergeCell ref="E99:E101"/>
    <mergeCell ref="H99:H120"/>
    <mergeCell ref="F100:F101"/>
    <mergeCell ref="G100:G101"/>
    <mergeCell ref="E102:E103"/>
    <mergeCell ref="F102:F103"/>
    <mergeCell ref="G102:G103"/>
    <mergeCell ref="E104:E105"/>
    <mergeCell ref="E106:E107"/>
    <mergeCell ref="C118:C120"/>
    <mergeCell ref="C122:H122"/>
    <mergeCell ref="H123:H143"/>
    <mergeCell ref="C124:C140"/>
    <mergeCell ref="F128:F129"/>
    <mergeCell ref="G128:G129"/>
    <mergeCell ref="E133:E134"/>
    <mergeCell ref="F133:F134"/>
    <mergeCell ref="G133:G134"/>
    <mergeCell ref="E136:E137"/>
    <mergeCell ref="F136:F137"/>
    <mergeCell ref="G136:G137"/>
    <mergeCell ref="E139:E140"/>
    <mergeCell ref="F139:F140"/>
    <mergeCell ref="G139:G140"/>
    <mergeCell ref="C141:C143"/>
    <mergeCell ref="E141:E142"/>
    <mergeCell ref="F141:F142"/>
    <mergeCell ref="G141:G142"/>
    <mergeCell ref="C150:C151"/>
    <mergeCell ref="G150:G151"/>
    <mergeCell ref="H150:H153"/>
    <mergeCell ref="C152:C155"/>
    <mergeCell ref="G152:G153"/>
    <mergeCell ref="H154:H155"/>
    <mergeCell ref="C144:H144"/>
    <mergeCell ref="C145:G145"/>
    <mergeCell ref="C146:C147"/>
    <mergeCell ref="G146:G147"/>
    <mergeCell ref="H146:H149"/>
    <mergeCell ref="C148:C149"/>
    <mergeCell ref="G148:G149"/>
    <mergeCell ref="C165:H165"/>
    <mergeCell ref="C166:C177"/>
    <mergeCell ref="E166:E167"/>
    <mergeCell ref="H166:H177"/>
    <mergeCell ref="E169:E170"/>
    <mergeCell ref="E173:E174"/>
    <mergeCell ref="E175:E176"/>
    <mergeCell ref="C156:C160"/>
    <mergeCell ref="E156:E157"/>
    <mergeCell ref="F156:F157"/>
    <mergeCell ref="G156:G157"/>
    <mergeCell ref="H156:H163"/>
    <mergeCell ref="E158:E159"/>
    <mergeCell ref="G158:G160"/>
    <mergeCell ref="C161:C163"/>
    <mergeCell ref="E161:E162"/>
    <mergeCell ref="G161:G163"/>
    <mergeCell ref="C189:C199"/>
    <mergeCell ref="H189:H199"/>
    <mergeCell ref="C178:H178"/>
    <mergeCell ref="C179:H179"/>
    <mergeCell ref="C180:C182"/>
    <mergeCell ref="F180:F181"/>
    <mergeCell ref="G180:G181"/>
    <mergeCell ref="H180:H185"/>
    <mergeCell ref="C183:C185"/>
    <mergeCell ref="E184:E185"/>
    <mergeCell ref="G184:G185"/>
    <mergeCell ref="C235:G235"/>
    <mergeCell ref="C236:C237"/>
    <mergeCell ref="H236:H248"/>
    <mergeCell ref="C238:C242"/>
    <mergeCell ref="C243:C248"/>
    <mergeCell ref="G218:H218"/>
    <mergeCell ref="C219:H219"/>
    <mergeCell ref="C220:C224"/>
    <mergeCell ref="F220:F221"/>
    <mergeCell ref="G220:G221"/>
    <mergeCell ref="H220:H233"/>
    <mergeCell ref="C225:C226"/>
    <mergeCell ref="E225:E226"/>
    <mergeCell ref="F225:F226"/>
    <mergeCell ref="G225:G226"/>
    <mergeCell ref="B10:B28"/>
    <mergeCell ref="B31:B42"/>
    <mergeCell ref="B45:B56"/>
    <mergeCell ref="B59:B66"/>
    <mergeCell ref="B69:B75"/>
    <mergeCell ref="B78:B79"/>
    <mergeCell ref="C227:C230"/>
    <mergeCell ref="C231:C233"/>
    <mergeCell ref="G234:H234"/>
    <mergeCell ref="C200:C207"/>
    <mergeCell ref="H200:H217"/>
    <mergeCell ref="C209:C212"/>
    <mergeCell ref="F209:F210"/>
    <mergeCell ref="G209:G210"/>
    <mergeCell ref="F211:F212"/>
    <mergeCell ref="G211:G212"/>
    <mergeCell ref="C213:C216"/>
    <mergeCell ref="F213:F215"/>
    <mergeCell ref="G213:G215"/>
    <mergeCell ref="C186:H186"/>
    <mergeCell ref="C187:D187"/>
    <mergeCell ref="G187:H187"/>
    <mergeCell ref="C188:D188"/>
    <mergeCell ref="F188:H188"/>
    <mergeCell ref="B189:B217"/>
    <mergeCell ref="B220:B233"/>
    <mergeCell ref="B236:B248"/>
    <mergeCell ref="B82:B92"/>
    <mergeCell ref="B96:B120"/>
    <mergeCell ref="B124:B143"/>
    <mergeCell ref="B146:B163"/>
    <mergeCell ref="B166:B177"/>
    <mergeCell ref="B180:B18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B488E-85E8-4A1C-89FD-D51BE483DD6F}">
  <dimension ref="A1:L249"/>
  <sheetViews>
    <sheetView zoomScale="70" zoomScaleNormal="70" workbookViewId="0">
      <selection activeCell="D17" sqref="D17"/>
    </sheetView>
  </sheetViews>
  <sheetFormatPr baseColWidth="10" defaultColWidth="11.453125" defaultRowHeight="14.5"/>
  <cols>
    <col min="1" max="1" width="3.36328125" customWidth="1"/>
    <col min="2" max="2" width="16.54296875" style="169" customWidth="1"/>
    <col min="3" max="3" width="56.453125" customWidth="1"/>
    <col min="4" max="4" width="52.36328125" customWidth="1"/>
    <col min="5" max="5" width="64" style="135" customWidth="1"/>
    <col min="6" max="6" width="64" style="135" hidden="1" customWidth="1"/>
    <col min="7" max="7" width="67.36328125" style="135" customWidth="1"/>
    <col min="8" max="8" width="48.6328125" style="135" customWidth="1"/>
    <col min="9" max="9" width="48" style="135" customWidth="1"/>
    <col min="10" max="10" width="67.36328125" style="135" customWidth="1"/>
    <col min="11" max="11" width="48.6328125" customWidth="1"/>
  </cols>
  <sheetData>
    <row r="1" spans="2:11" s="134" customFormat="1" ht="27.5">
      <c r="B1" s="168"/>
      <c r="C1" s="600" t="s">
        <v>0</v>
      </c>
      <c r="D1" s="600"/>
      <c r="E1" s="600"/>
      <c r="F1" s="600"/>
      <c r="G1" s="600"/>
      <c r="H1" s="600"/>
      <c r="I1" s="600"/>
      <c r="J1" s="600"/>
      <c r="K1" s="600"/>
    </row>
    <row r="2" spans="2:11" s="134" customFormat="1" ht="18">
      <c r="B2" s="168"/>
      <c r="C2" s="601" t="s">
        <v>713</v>
      </c>
      <c r="D2" s="602"/>
      <c r="E2" s="602"/>
      <c r="F2" s="602"/>
      <c r="G2" s="602"/>
      <c r="H2" s="602"/>
      <c r="I2" s="602"/>
      <c r="J2" s="602"/>
      <c r="K2" s="602"/>
    </row>
    <row r="3" spans="2:11">
      <c r="C3" s="506" t="s">
        <v>2</v>
      </c>
      <c r="D3" s="541"/>
      <c r="E3" s="541"/>
      <c r="F3" s="541"/>
      <c r="G3" s="541"/>
      <c r="H3" s="541"/>
      <c r="I3" s="541"/>
      <c r="J3" s="541"/>
      <c r="K3" s="541"/>
    </row>
    <row r="4" spans="2:11" s="142" customFormat="1">
      <c r="B4" s="170"/>
      <c r="D4" s="142" t="s">
        <v>3</v>
      </c>
      <c r="E4" s="140" t="s">
        <v>4</v>
      </c>
      <c r="F4" s="140"/>
      <c r="G4" s="140" t="s">
        <v>5</v>
      </c>
      <c r="H4" s="140"/>
      <c r="I4" s="140"/>
      <c r="J4" s="140" t="s">
        <v>6</v>
      </c>
      <c r="K4" s="141" t="s">
        <v>7</v>
      </c>
    </row>
    <row r="5" spans="2:11" s="142" customFormat="1">
      <c r="B5" s="170"/>
      <c r="E5" s="143"/>
      <c r="F5" s="143"/>
      <c r="G5" s="143"/>
      <c r="H5" s="143"/>
      <c r="I5" s="143"/>
      <c r="J5" s="143"/>
      <c r="K5" s="141"/>
    </row>
    <row r="6" spans="2:11" s="141" customFormat="1" ht="32.25" customHeight="1">
      <c r="B6" s="171"/>
      <c r="C6" s="144" t="s">
        <v>8</v>
      </c>
      <c r="D6" s="145" t="s">
        <v>9</v>
      </c>
      <c r="E6" s="145" t="s">
        <v>10</v>
      </c>
      <c r="F6" s="179">
        <v>2022</v>
      </c>
      <c r="G6" s="145" t="s">
        <v>11</v>
      </c>
      <c r="H6" s="145">
        <v>2023</v>
      </c>
      <c r="I6" s="145">
        <v>2024</v>
      </c>
      <c r="J6" s="145" t="s">
        <v>12</v>
      </c>
      <c r="K6" s="144" t="s">
        <v>13</v>
      </c>
    </row>
    <row r="7" spans="2:11">
      <c r="C7" s="547" t="s">
        <v>18</v>
      </c>
      <c r="D7" s="548"/>
      <c r="E7" s="548"/>
      <c r="F7" s="548"/>
      <c r="G7" s="548"/>
      <c r="H7" s="548"/>
      <c r="I7" s="548"/>
      <c r="J7" s="548"/>
      <c r="K7" s="548"/>
    </row>
    <row r="8" spans="2:11">
      <c r="C8" s="146" t="s">
        <v>19</v>
      </c>
      <c r="D8" s="147"/>
      <c r="E8" s="148"/>
      <c r="F8" s="148"/>
      <c r="G8" s="148"/>
      <c r="H8" s="148"/>
      <c r="I8" s="148"/>
      <c r="J8" s="148"/>
      <c r="K8" s="149"/>
    </row>
    <row r="9" spans="2:11">
      <c r="C9" s="62" t="s">
        <v>20</v>
      </c>
      <c r="D9" s="63"/>
      <c r="E9" s="136"/>
      <c r="F9" s="136"/>
      <c r="G9" s="587" t="s">
        <v>3</v>
      </c>
      <c r="H9" s="587"/>
      <c r="I9" s="587"/>
      <c r="J9" s="447"/>
      <c r="K9" s="447"/>
    </row>
    <row r="10" spans="2:11">
      <c r="B10" s="575" t="s">
        <v>714</v>
      </c>
      <c r="C10" s="444" t="s">
        <v>21</v>
      </c>
      <c r="D10" s="72" t="s">
        <v>22</v>
      </c>
      <c r="E10" s="501" t="s">
        <v>23</v>
      </c>
      <c r="F10" s="10"/>
      <c r="G10" s="501" t="s">
        <v>24</v>
      </c>
      <c r="H10" s="10"/>
      <c r="I10" s="10"/>
      <c r="J10" s="334"/>
      <c r="K10" s="501" t="s">
        <v>26</v>
      </c>
    </row>
    <row r="11" spans="2:11">
      <c r="B11" s="575"/>
      <c r="C11" s="444"/>
      <c r="D11" s="72" t="s">
        <v>27</v>
      </c>
      <c r="E11" s="501"/>
      <c r="F11" s="10"/>
      <c r="G11" s="501"/>
      <c r="H11" s="10"/>
      <c r="I11" s="10"/>
      <c r="J11" s="334"/>
      <c r="K11" s="501"/>
    </row>
    <row r="12" spans="2:11" ht="29">
      <c r="B12" s="575"/>
      <c r="C12" s="444"/>
      <c r="D12" s="72" t="s">
        <v>28</v>
      </c>
      <c r="E12" s="10" t="s">
        <v>29</v>
      </c>
      <c r="F12" s="10"/>
      <c r="G12" s="18"/>
      <c r="H12" s="18"/>
      <c r="I12" s="18"/>
      <c r="J12" s="10"/>
      <c r="K12" s="501"/>
    </row>
    <row r="13" spans="2:11" ht="29">
      <c r="B13" s="575"/>
      <c r="C13" s="444"/>
      <c r="D13" s="72" t="s">
        <v>32</v>
      </c>
      <c r="E13" s="10" t="s">
        <v>33</v>
      </c>
      <c r="F13" s="10"/>
      <c r="G13" s="18"/>
      <c r="H13" s="18" t="s">
        <v>730</v>
      </c>
      <c r="I13" s="18"/>
      <c r="J13" s="10"/>
      <c r="K13" s="501"/>
    </row>
    <row r="14" spans="2:11" ht="43.5">
      <c r="B14" s="575"/>
      <c r="C14" s="444"/>
      <c r="D14" s="72" t="s">
        <v>36</v>
      </c>
      <c r="E14" s="10" t="s">
        <v>37</v>
      </c>
      <c r="F14" s="10"/>
      <c r="G14" s="18" t="s">
        <v>38</v>
      </c>
      <c r="H14" s="18"/>
      <c r="I14" s="18"/>
      <c r="J14" s="10" t="s">
        <v>39</v>
      </c>
      <c r="K14" s="501"/>
    </row>
    <row r="15" spans="2:11">
      <c r="B15" s="575"/>
      <c r="C15" s="444"/>
      <c r="D15" s="72" t="s">
        <v>40</v>
      </c>
      <c r="E15" s="501" t="s">
        <v>41</v>
      </c>
      <c r="F15" s="10"/>
      <c r="G15" s="598" t="s">
        <v>42</v>
      </c>
      <c r="H15" s="18"/>
      <c r="I15" s="18"/>
      <c r="J15" s="501"/>
      <c r="K15" s="501"/>
    </row>
    <row r="16" spans="2:11">
      <c r="B16" s="575"/>
      <c r="C16" s="444"/>
      <c r="D16" s="72" t="s">
        <v>43</v>
      </c>
      <c r="E16" s="501"/>
      <c r="F16" s="10"/>
      <c r="G16" s="598"/>
      <c r="H16" s="18"/>
      <c r="I16" s="18"/>
      <c r="J16" s="501"/>
      <c r="K16" s="501"/>
    </row>
    <row r="17" spans="2:11" ht="29">
      <c r="B17" s="575"/>
      <c r="C17" s="444"/>
      <c r="D17" s="72" t="s">
        <v>44</v>
      </c>
      <c r="E17" s="10" t="s">
        <v>45</v>
      </c>
      <c r="F17" s="10"/>
      <c r="G17" s="10" t="s">
        <v>46</v>
      </c>
      <c r="H17" s="10"/>
      <c r="I17" s="10"/>
      <c r="J17" s="10" t="s">
        <v>47</v>
      </c>
      <c r="K17" s="501"/>
    </row>
    <row r="18" spans="2:11" ht="29">
      <c r="B18" s="575"/>
      <c r="C18" s="444" t="s">
        <v>48</v>
      </c>
      <c r="D18" s="72" t="s">
        <v>49</v>
      </c>
      <c r="E18" s="10" t="s">
        <v>50</v>
      </c>
      <c r="F18" s="10"/>
      <c r="G18" s="18" t="s">
        <v>51</v>
      </c>
      <c r="H18" s="18" t="s">
        <v>731</v>
      </c>
      <c r="I18" s="18"/>
      <c r="J18" s="10"/>
      <c r="K18" s="501"/>
    </row>
    <row r="19" spans="2:11" ht="43.5">
      <c r="B19" s="575"/>
      <c r="C19" s="444"/>
      <c r="D19" s="72" t="s">
        <v>52</v>
      </c>
      <c r="E19" s="10" t="s">
        <v>53</v>
      </c>
      <c r="F19" s="10"/>
      <c r="G19" s="18" t="s">
        <v>54</v>
      </c>
      <c r="H19" s="18" t="s">
        <v>732</v>
      </c>
      <c r="I19" s="18"/>
      <c r="J19" s="10"/>
      <c r="K19" s="501"/>
    </row>
    <row r="20" spans="2:11">
      <c r="B20" s="575"/>
      <c r="C20" s="444"/>
      <c r="D20" s="72" t="s">
        <v>55</v>
      </c>
      <c r="E20" s="501" t="s">
        <v>56</v>
      </c>
      <c r="F20" s="10"/>
      <c r="G20" s="598" t="s">
        <v>57</v>
      </c>
      <c r="H20" s="18"/>
      <c r="I20" s="18"/>
      <c r="J20" s="501" t="s">
        <v>58</v>
      </c>
      <c r="K20" s="501"/>
    </row>
    <row r="21" spans="2:11">
      <c r="B21" s="575"/>
      <c r="C21" s="444"/>
      <c r="D21" s="72" t="s">
        <v>59</v>
      </c>
      <c r="E21" s="501"/>
      <c r="F21" s="10"/>
      <c r="G21" s="598"/>
      <c r="H21" s="18"/>
      <c r="I21" s="18"/>
      <c r="J21" s="501"/>
      <c r="K21" s="501"/>
    </row>
    <row r="22" spans="2:11" ht="29">
      <c r="B22" s="575"/>
      <c r="C22" s="444"/>
      <c r="D22" s="72" t="s">
        <v>60</v>
      </c>
      <c r="E22" s="10" t="s">
        <v>61</v>
      </c>
      <c r="F22" s="10"/>
      <c r="G22" s="18" t="s">
        <v>62</v>
      </c>
      <c r="H22" s="18"/>
      <c r="I22" s="18"/>
      <c r="J22" s="10"/>
      <c r="K22" s="501"/>
    </row>
    <row r="23" spans="2:11" ht="29">
      <c r="B23" s="575"/>
      <c r="C23" s="444" t="s">
        <v>63</v>
      </c>
      <c r="D23" s="72" t="s">
        <v>64</v>
      </c>
      <c r="E23" s="10" t="s">
        <v>65</v>
      </c>
      <c r="F23" s="10"/>
      <c r="G23" s="18" t="s">
        <v>66</v>
      </c>
      <c r="H23" s="18" t="s">
        <v>733</v>
      </c>
      <c r="I23" s="18"/>
      <c r="J23" s="10"/>
      <c r="K23" s="501"/>
    </row>
    <row r="24" spans="2:11" ht="29">
      <c r="B24" s="575"/>
      <c r="C24" s="445"/>
      <c r="D24" s="72" t="s">
        <v>67</v>
      </c>
      <c r="E24" s="10" t="s">
        <v>68</v>
      </c>
      <c r="F24" s="10"/>
      <c r="G24" s="73" t="s">
        <v>69</v>
      </c>
      <c r="H24" s="73" t="s">
        <v>734</v>
      </c>
      <c r="I24" s="73"/>
      <c r="J24" s="10" t="s">
        <v>70</v>
      </c>
      <c r="K24" s="501"/>
    </row>
    <row r="25" spans="2:11" ht="29">
      <c r="B25" s="575"/>
      <c r="C25" s="445"/>
      <c r="D25" s="117" t="s">
        <v>71</v>
      </c>
      <c r="E25" s="10" t="s">
        <v>72</v>
      </c>
      <c r="F25" s="10"/>
      <c r="G25" s="10" t="s">
        <v>73</v>
      </c>
      <c r="H25" s="10" t="s">
        <v>735</v>
      </c>
      <c r="I25" s="10"/>
      <c r="J25" s="10" t="s">
        <v>74</v>
      </c>
      <c r="K25" s="501"/>
    </row>
    <row r="26" spans="2:11">
      <c r="B26" s="575"/>
      <c r="C26" s="445"/>
      <c r="D26" s="116" t="s">
        <v>75</v>
      </c>
      <c r="E26" s="10" t="s">
        <v>76</v>
      </c>
      <c r="F26" s="10"/>
      <c r="G26" s="73" t="s">
        <v>77</v>
      </c>
      <c r="H26" s="73"/>
      <c r="I26" s="73"/>
      <c r="J26" s="10" t="s">
        <v>78</v>
      </c>
      <c r="K26" s="501"/>
    </row>
    <row r="27" spans="2:11" ht="43.5">
      <c r="B27" s="575"/>
      <c r="C27" s="445"/>
      <c r="D27" s="118" t="s">
        <v>79</v>
      </c>
      <c r="E27" s="10" t="s">
        <v>80</v>
      </c>
      <c r="F27" s="10"/>
      <c r="G27" s="18" t="s">
        <v>81</v>
      </c>
      <c r="H27" s="18" t="s">
        <v>736</v>
      </c>
      <c r="I27" s="18"/>
      <c r="J27" s="10" t="s">
        <v>81</v>
      </c>
      <c r="K27" s="501"/>
    </row>
    <row r="28" spans="2:11" ht="58">
      <c r="B28" s="575"/>
      <c r="C28" s="445"/>
      <c r="D28" s="12" t="s">
        <v>82</v>
      </c>
      <c r="E28" s="10" t="s">
        <v>83</v>
      </c>
      <c r="F28" s="73"/>
      <c r="G28" s="129" t="s">
        <v>83</v>
      </c>
      <c r="H28" s="18" t="s">
        <v>737</v>
      </c>
      <c r="I28" s="18"/>
      <c r="J28" s="10" t="s">
        <v>83</v>
      </c>
      <c r="K28" s="501"/>
    </row>
    <row r="29" spans="2:11">
      <c r="C29" s="150" t="s">
        <v>84</v>
      </c>
      <c r="D29" s="151"/>
      <c r="E29" s="148"/>
      <c r="F29" s="148"/>
      <c r="G29" s="148"/>
      <c r="H29" s="148"/>
      <c r="I29" s="148"/>
      <c r="J29" s="592"/>
      <c r="K29" s="447"/>
    </row>
    <row r="30" spans="2:11">
      <c r="C30" s="583" t="s">
        <v>85</v>
      </c>
      <c r="D30" s="583"/>
      <c r="E30" s="153"/>
      <c r="F30" s="153"/>
      <c r="G30" s="153"/>
      <c r="H30" s="153"/>
      <c r="I30" s="153"/>
      <c r="J30" s="593"/>
      <c r="K30" s="447"/>
    </row>
    <row r="31" spans="2:11" ht="343.5" customHeight="1">
      <c r="B31" s="575" t="s">
        <v>715</v>
      </c>
      <c r="C31" s="446" t="s">
        <v>86</v>
      </c>
      <c r="D31" s="30" t="s">
        <v>87</v>
      </c>
      <c r="E31" s="30" t="s">
        <v>88</v>
      </c>
      <c r="F31" s="30"/>
      <c r="G31" s="30" t="s">
        <v>89</v>
      </c>
      <c r="H31" s="30"/>
      <c r="I31" s="30"/>
      <c r="J31" s="10" t="s">
        <v>90</v>
      </c>
      <c r="K31" s="501" t="s">
        <v>91</v>
      </c>
    </row>
    <row r="32" spans="2:11">
      <c r="B32" s="575"/>
      <c r="C32" s="446"/>
      <c r="D32" s="30" t="s">
        <v>92</v>
      </c>
      <c r="E32" s="30" t="s">
        <v>93</v>
      </c>
      <c r="F32" s="30"/>
      <c r="G32" s="10"/>
      <c r="H32" s="10"/>
      <c r="I32" s="10"/>
      <c r="J32" s="10"/>
      <c r="K32" s="501"/>
    </row>
    <row r="33" spans="1:11" ht="29">
      <c r="B33" s="575"/>
      <c r="C33" s="446"/>
      <c r="D33" s="72" t="s">
        <v>28</v>
      </c>
      <c r="E33" s="30" t="s">
        <v>94</v>
      </c>
      <c r="F33" s="30"/>
      <c r="G33" s="30"/>
      <c r="H33" s="30"/>
      <c r="I33" s="30"/>
      <c r="J33" s="10"/>
      <c r="K33" s="501"/>
    </row>
    <row r="34" spans="1:11" ht="29">
      <c r="B34" s="575"/>
      <c r="C34" s="444" t="s">
        <v>95</v>
      </c>
      <c r="D34" s="72" t="s">
        <v>96</v>
      </c>
      <c r="E34" s="444" t="s">
        <v>97</v>
      </c>
      <c r="F34" s="30"/>
      <c r="G34" s="30" t="s">
        <v>98</v>
      </c>
      <c r="H34" s="30"/>
      <c r="I34" s="30"/>
      <c r="J34" s="501" t="s">
        <v>99</v>
      </c>
      <c r="K34" s="501"/>
    </row>
    <row r="35" spans="1:11" ht="63.75" customHeight="1">
      <c r="B35" s="575"/>
      <c r="C35" s="445"/>
      <c r="D35" s="72" t="s">
        <v>100</v>
      </c>
      <c r="E35" s="501"/>
      <c r="F35" s="10"/>
      <c r="G35" s="30" t="s">
        <v>101</v>
      </c>
      <c r="H35" s="30" t="s">
        <v>738</v>
      </c>
      <c r="I35" s="30"/>
      <c r="J35" s="501"/>
      <c r="K35" s="501"/>
    </row>
    <row r="36" spans="1:11" ht="29">
      <c r="B36" s="575"/>
      <c r="C36" s="445"/>
      <c r="D36" s="72" t="s">
        <v>102</v>
      </c>
      <c r="E36" s="501"/>
      <c r="F36" s="10"/>
      <c r="G36" s="30" t="s">
        <v>103</v>
      </c>
      <c r="H36" s="30" t="s">
        <v>739</v>
      </c>
      <c r="I36" s="30"/>
      <c r="J36" s="501"/>
      <c r="K36" s="501"/>
    </row>
    <row r="37" spans="1:11" ht="43.5" customHeight="1">
      <c r="B37" s="575"/>
      <c r="C37" s="444" t="s">
        <v>104</v>
      </c>
      <c r="D37" s="72" t="s">
        <v>105</v>
      </c>
      <c r="E37" s="444" t="s">
        <v>106</v>
      </c>
      <c r="F37" s="30"/>
      <c r="G37" s="444" t="s">
        <v>107</v>
      </c>
      <c r="H37" s="30" t="s">
        <v>740</v>
      </c>
      <c r="I37" s="30"/>
      <c r="J37" s="501" t="s">
        <v>108</v>
      </c>
      <c r="K37" s="501"/>
    </row>
    <row r="38" spans="1:11">
      <c r="B38" s="575"/>
      <c r="C38" s="445"/>
      <c r="D38" s="72" t="s">
        <v>109</v>
      </c>
      <c r="E38" s="501"/>
      <c r="F38" s="10"/>
      <c r="G38" s="501"/>
      <c r="H38" s="30"/>
      <c r="I38" s="10"/>
      <c r="J38" s="501"/>
      <c r="K38" s="501"/>
    </row>
    <row r="39" spans="1:11" ht="43.5">
      <c r="B39" s="575"/>
      <c r="C39" s="30" t="s">
        <v>110</v>
      </c>
      <c r="D39" s="72" t="s">
        <v>111</v>
      </c>
      <c r="E39" s="30" t="s">
        <v>112</v>
      </c>
      <c r="F39" s="30"/>
      <c r="G39" s="30" t="s">
        <v>113</v>
      </c>
      <c r="H39" s="30" t="s">
        <v>741</v>
      </c>
      <c r="I39" s="30"/>
      <c r="J39" s="501"/>
      <c r="K39" s="501"/>
    </row>
    <row r="40" spans="1:11" ht="43.5">
      <c r="B40" s="575"/>
      <c r="C40" s="444" t="s">
        <v>114</v>
      </c>
      <c r="D40" s="72" t="s">
        <v>115</v>
      </c>
      <c r="E40" s="444" t="s">
        <v>116</v>
      </c>
      <c r="F40" s="30"/>
      <c r="G40" s="444" t="s">
        <v>117</v>
      </c>
      <c r="H40" s="30" t="s">
        <v>742</v>
      </c>
      <c r="I40" s="30"/>
      <c r="J40" s="501" t="s">
        <v>118</v>
      </c>
      <c r="K40" s="501"/>
    </row>
    <row r="41" spans="1:11">
      <c r="B41" s="575"/>
      <c r="C41" s="445"/>
      <c r="D41" s="72" t="s">
        <v>119</v>
      </c>
      <c r="E41" s="501"/>
      <c r="F41" s="10"/>
      <c r="G41" s="501"/>
      <c r="H41" s="10"/>
      <c r="I41" s="10"/>
      <c r="J41" s="501"/>
      <c r="K41" s="501"/>
    </row>
    <row r="42" spans="1:11" ht="29">
      <c r="B42" s="575"/>
      <c r="C42" s="445"/>
      <c r="D42" s="72" t="s">
        <v>120</v>
      </c>
      <c r="E42" s="30" t="s">
        <v>121</v>
      </c>
      <c r="F42" s="30"/>
      <c r="G42" s="30" t="s">
        <v>122</v>
      </c>
      <c r="H42" s="30"/>
      <c r="I42" s="30"/>
      <c r="J42" s="501"/>
      <c r="K42" s="501"/>
    </row>
    <row r="43" spans="1:11">
      <c r="C43" s="588" t="s">
        <v>123</v>
      </c>
      <c r="D43" s="447"/>
      <c r="E43" s="447"/>
      <c r="F43" s="447"/>
      <c r="G43" s="447"/>
      <c r="H43" s="447"/>
      <c r="I43" s="447"/>
      <c r="J43" s="447"/>
      <c r="K43" s="447"/>
    </row>
    <row r="44" spans="1:11">
      <c r="C44" s="583" t="s">
        <v>124</v>
      </c>
      <c r="D44" s="548"/>
      <c r="E44" s="447"/>
      <c r="F44" s="447"/>
      <c r="G44" s="447"/>
      <c r="H44" s="447"/>
      <c r="I44" s="447"/>
      <c r="J44" s="447"/>
      <c r="K44" s="447"/>
    </row>
    <row r="45" spans="1:11" ht="29">
      <c r="A45" s="101"/>
      <c r="B45" s="575" t="s">
        <v>716</v>
      </c>
      <c r="C45" s="445" t="s">
        <v>125</v>
      </c>
      <c r="D45" s="30" t="s">
        <v>126</v>
      </c>
      <c r="E45" s="30" t="s">
        <v>127</v>
      </c>
      <c r="F45" s="30"/>
      <c r="G45" s="30" t="s">
        <v>128</v>
      </c>
      <c r="H45" s="30" t="s">
        <v>743</v>
      </c>
      <c r="I45" s="30"/>
      <c r="J45" s="501" t="s">
        <v>129</v>
      </c>
      <c r="K45" s="501" t="s">
        <v>130</v>
      </c>
    </row>
    <row r="46" spans="1:11">
      <c r="A46" s="101"/>
      <c r="B46" s="575"/>
      <c r="C46" s="447"/>
      <c r="D46" s="72" t="s">
        <v>131</v>
      </c>
      <c r="E46" s="30" t="s">
        <v>132</v>
      </c>
      <c r="F46" s="30"/>
      <c r="G46" s="444" t="s">
        <v>133</v>
      </c>
      <c r="H46" s="30" t="s">
        <v>744</v>
      </c>
      <c r="I46" s="30"/>
      <c r="J46" s="501"/>
      <c r="K46" s="445"/>
    </row>
    <row r="47" spans="1:11" ht="58">
      <c r="A47" s="101"/>
      <c r="B47" s="575"/>
      <c r="C47" s="447"/>
      <c r="D47" s="72" t="s">
        <v>134</v>
      </c>
      <c r="E47" s="30" t="s">
        <v>135</v>
      </c>
      <c r="F47" s="30"/>
      <c r="G47" s="501"/>
      <c r="H47" s="30" t="s">
        <v>745</v>
      </c>
      <c r="I47" s="10"/>
      <c r="J47" s="501"/>
      <c r="K47" s="445"/>
    </row>
    <row r="48" spans="1:11" ht="29">
      <c r="A48" s="101"/>
      <c r="B48" s="575"/>
      <c r="C48" s="447"/>
      <c r="D48" s="72" t="s">
        <v>136</v>
      </c>
      <c r="E48" s="30" t="s">
        <v>137</v>
      </c>
      <c r="F48" s="30"/>
      <c r="G48" s="30" t="s">
        <v>138</v>
      </c>
      <c r="H48" s="30"/>
      <c r="I48" s="30"/>
      <c r="J48" s="501"/>
      <c r="K48" s="445"/>
    </row>
    <row r="49" spans="1:11" ht="29">
      <c r="A49" s="101"/>
      <c r="B49" s="575"/>
      <c r="C49" s="447"/>
      <c r="D49" s="72" t="s">
        <v>139</v>
      </c>
      <c r="E49" s="30" t="s">
        <v>132</v>
      </c>
      <c r="F49" s="30"/>
      <c r="G49" s="30" t="s">
        <v>140</v>
      </c>
      <c r="H49" s="30"/>
      <c r="I49" s="30"/>
      <c r="J49" s="501"/>
      <c r="K49" s="445"/>
    </row>
    <row r="50" spans="1:11" ht="29">
      <c r="A50" s="101"/>
      <c r="B50" s="575"/>
      <c r="C50" s="447"/>
      <c r="D50" s="72" t="s">
        <v>141</v>
      </c>
      <c r="E50" s="30" t="s">
        <v>142</v>
      </c>
      <c r="F50" s="30"/>
      <c r="G50" s="30" t="s">
        <v>138</v>
      </c>
      <c r="H50" s="30"/>
      <c r="I50" s="30"/>
      <c r="J50" s="501"/>
      <c r="K50" s="445"/>
    </row>
    <row r="51" spans="1:11">
      <c r="A51" s="102"/>
      <c r="B51" s="575"/>
      <c r="C51" s="445" t="s">
        <v>143</v>
      </c>
      <c r="D51" s="72" t="s">
        <v>144</v>
      </c>
      <c r="E51" s="30" t="s">
        <v>145</v>
      </c>
      <c r="F51" s="30"/>
      <c r="G51" s="30" t="s">
        <v>146</v>
      </c>
      <c r="H51" s="30"/>
      <c r="I51" s="30"/>
      <c r="J51" s="501"/>
      <c r="K51" s="445"/>
    </row>
    <row r="52" spans="1:11" ht="29">
      <c r="A52" s="102"/>
      <c r="B52" s="575"/>
      <c r="C52" s="445"/>
      <c r="D52" s="72" t="s">
        <v>147</v>
      </c>
      <c r="E52" s="30" t="s">
        <v>148</v>
      </c>
      <c r="F52" s="30"/>
      <c r="G52" s="30" t="s">
        <v>149</v>
      </c>
      <c r="H52" s="30"/>
      <c r="I52" s="30"/>
      <c r="J52" s="501"/>
      <c r="K52" s="445"/>
    </row>
    <row r="53" spans="1:11" ht="29">
      <c r="A53" s="102"/>
      <c r="B53" s="575"/>
      <c r="C53" s="445"/>
      <c r="D53" s="72" t="s">
        <v>150</v>
      </c>
      <c r="E53" s="30" t="s">
        <v>151</v>
      </c>
      <c r="F53" s="30"/>
      <c r="G53" s="30" t="s">
        <v>152</v>
      </c>
      <c r="H53" s="30"/>
      <c r="I53" s="30"/>
      <c r="J53" s="501"/>
      <c r="K53" s="445"/>
    </row>
    <row r="54" spans="1:11">
      <c r="A54" s="103"/>
      <c r="B54" s="575"/>
      <c r="C54" s="529" t="s">
        <v>153</v>
      </c>
      <c r="D54" s="72" t="s">
        <v>136</v>
      </c>
      <c r="E54" s="30" t="s">
        <v>154</v>
      </c>
      <c r="F54" s="30"/>
      <c r="G54" s="444" t="s">
        <v>155</v>
      </c>
      <c r="H54" s="30"/>
      <c r="I54" s="30"/>
      <c r="J54" s="501" t="s">
        <v>156</v>
      </c>
      <c r="K54" s="501" t="s">
        <v>156</v>
      </c>
    </row>
    <row r="55" spans="1:11">
      <c r="A55" s="103"/>
      <c r="B55" s="575"/>
      <c r="C55" s="529"/>
      <c r="D55" s="72" t="s">
        <v>157</v>
      </c>
      <c r="E55" s="444" t="s">
        <v>158</v>
      </c>
      <c r="F55" s="30"/>
      <c r="G55" s="529"/>
      <c r="H55" s="73"/>
      <c r="I55" s="73"/>
      <c r="J55" s="529"/>
      <c r="K55" s="529"/>
    </row>
    <row r="56" spans="1:11" ht="32.25" customHeight="1">
      <c r="A56" s="103"/>
      <c r="B56" s="575"/>
      <c r="C56" s="447"/>
      <c r="D56" s="72" t="s">
        <v>159</v>
      </c>
      <c r="E56" s="529"/>
      <c r="F56" s="73"/>
      <c r="G56" s="529"/>
      <c r="H56" s="73"/>
      <c r="I56" s="73"/>
      <c r="J56" s="529"/>
      <c r="K56" s="529"/>
    </row>
    <row r="57" spans="1:11">
      <c r="A57" s="100"/>
      <c r="C57" s="588" t="s">
        <v>160</v>
      </c>
      <c r="D57" s="599"/>
      <c r="E57" s="599"/>
      <c r="F57" s="599"/>
      <c r="G57" s="599"/>
      <c r="H57" s="599"/>
      <c r="I57" s="599"/>
      <c r="J57" s="599"/>
      <c r="K57" s="447"/>
    </row>
    <row r="58" spans="1:11">
      <c r="A58" s="100"/>
      <c r="C58" s="152" t="s">
        <v>161</v>
      </c>
      <c r="D58" s="154"/>
      <c r="E58" s="155"/>
      <c r="F58" s="155"/>
      <c r="G58" s="155"/>
      <c r="H58" s="155"/>
      <c r="I58" s="155"/>
      <c r="J58" s="155"/>
      <c r="K58" s="63"/>
    </row>
    <row r="59" spans="1:11" ht="87">
      <c r="A59" s="103"/>
      <c r="B59" s="576" t="s">
        <v>717</v>
      </c>
      <c r="C59" s="501" t="s">
        <v>162</v>
      </c>
      <c r="D59" s="119" t="s">
        <v>163</v>
      </c>
      <c r="E59" s="501" t="s">
        <v>164</v>
      </c>
      <c r="F59" s="10"/>
      <c r="G59" s="501" t="s">
        <v>165</v>
      </c>
      <c r="H59" s="10" t="s">
        <v>746</v>
      </c>
      <c r="I59" s="10"/>
      <c r="J59" s="598" t="s">
        <v>166</v>
      </c>
      <c r="K59" s="501" t="s">
        <v>167</v>
      </c>
    </row>
    <row r="60" spans="1:11">
      <c r="A60" s="103"/>
      <c r="B60" s="577"/>
      <c r="C60" s="501"/>
      <c r="D60" s="120" t="s">
        <v>168</v>
      </c>
      <c r="E60" s="501"/>
      <c r="F60" s="10"/>
      <c r="G60" s="501"/>
      <c r="H60" s="10"/>
      <c r="I60" s="10"/>
      <c r="J60" s="598"/>
      <c r="K60" s="501"/>
    </row>
    <row r="61" spans="1:11" ht="43.5">
      <c r="A61" s="101"/>
      <c r="B61" s="577"/>
      <c r="C61" s="501"/>
      <c r="D61" s="121" t="s">
        <v>169</v>
      </c>
      <c r="E61" s="10" t="s">
        <v>170</v>
      </c>
      <c r="F61" s="10"/>
      <c r="G61" s="10" t="s">
        <v>171</v>
      </c>
      <c r="H61" s="10"/>
      <c r="I61" s="10"/>
      <c r="J61" s="10" t="s">
        <v>172</v>
      </c>
      <c r="K61" s="501"/>
    </row>
    <row r="62" spans="1:11" ht="55.5" customHeight="1">
      <c r="A62" s="101"/>
      <c r="B62" s="577"/>
      <c r="C62" s="501" t="s">
        <v>173</v>
      </c>
      <c r="D62" s="122" t="s">
        <v>174</v>
      </c>
      <c r="E62" s="501" t="s">
        <v>175</v>
      </c>
      <c r="F62" s="10"/>
      <c r="G62" s="501" t="s">
        <v>176</v>
      </c>
      <c r="H62" s="10" t="s">
        <v>747</v>
      </c>
      <c r="I62" s="10"/>
      <c r="J62" s="501" t="s">
        <v>177</v>
      </c>
      <c r="K62" s="447"/>
    </row>
    <row r="63" spans="1:11">
      <c r="A63" s="101"/>
      <c r="B63" s="577"/>
      <c r="C63" s="501"/>
      <c r="D63" s="123" t="s">
        <v>178</v>
      </c>
      <c r="E63" s="501"/>
      <c r="F63" s="10"/>
      <c r="G63" s="529"/>
      <c r="H63" s="73"/>
      <c r="I63" s="73"/>
      <c r="J63" s="501"/>
      <c r="K63" s="447"/>
    </row>
    <row r="64" spans="1:11" ht="72.5">
      <c r="A64" s="101"/>
      <c r="B64" s="577"/>
      <c r="C64" s="501"/>
      <c r="D64" s="123" t="s">
        <v>179</v>
      </c>
      <c r="E64" s="10" t="s">
        <v>180</v>
      </c>
      <c r="F64" s="10"/>
      <c r="G64" s="10" t="s">
        <v>181</v>
      </c>
      <c r="H64" s="10" t="s">
        <v>748</v>
      </c>
      <c r="I64" s="10"/>
      <c r="J64" s="10" t="s">
        <v>182</v>
      </c>
      <c r="K64" s="447"/>
    </row>
    <row r="65" spans="1:11" ht="29">
      <c r="A65" s="103"/>
      <c r="B65" s="577"/>
      <c r="C65" s="10" t="s">
        <v>183</v>
      </c>
      <c r="D65" s="123" t="s">
        <v>184</v>
      </c>
      <c r="E65" s="10" t="s">
        <v>185</v>
      </c>
      <c r="F65" s="10"/>
      <c r="G65" s="10" t="s">
        <v>186</v>
      </c>
      <c r="H65" s="10"/>
      <c r="I65" s="10"/>
      <c r="J65" s="10" t="s">
        <v>187</v>
      </c>
      <c r="K65" s="447"/>
    </row>
    <row r="66" spans="1:11" ht="58">
      <c r="A66" s="101"/>
      <c r="B66" s="578"/>
      <c r="C66" s="73" t="s">
        <v>188</v>
      </c>
      <c r="D66" s="124" t="s">
        <v>189</v>
      </c>
      <c r="E66" s="10" t="s">
        <v>190</v>
      </c>
      <c r="F66" s="10"/>
      <c r="G66" s="10" t="s">
        <v>191</v>
      </c>
      <c r="H66" s="10"/>
      <c r="I66" s="10"/>
      <c r="J66" s="10" t="s">
        <v>192</v>
      </c>
      <c r="K66" s="447"/>
    </row>
    <row r="67" spans="1:11">
      <c r="C67" s="156" t="s">
        <v>193</v>
      </c>
      <c r="D67" s="157"/>
      <c r="E67" s="158"/>
      <c r="F67" s="158"/>
      <c r="G67" s="158"/>
      <c r="H67" s="158"/>
      <c r="I67" s="158"/>
      <c r="J67" s="594"/>
      <c r="K67" s="447"/>
    </row>
    <row r="68" spans="1:11">
      <c r="C68" s="153" t="s">
        <v>194</v>
      </c>
      <c r="D68" s="159"/>
      <c r="E68" s="160"/>
      <c r="F68" s="160"/>
      <c r="G68" s="160"/>
      <c r="H68" s="160"/>
      <c r="I68" s="160"/>
      <c r="J68" s="595"/>
      <c r="K68" s="447"/>
    </row>
    <row r="69" spans="1:11" ht="43.5">
      <c r="B69" s="575" t="s">
        <v>718</v>
      </c>
      <c r="C69" s="501" t="s">
        <v>195</v>
      </c>
      <c r="D69" s="125" t="s">
        <v>196</v>
      </c>
      <c r="E69" s="30" t="s">
        <v>197</v>
      </c>
      <c r="F69" s="30"/>
      <c r="G69" s="30" t="s">
        <v>197</v>
      </c>
      <c r="H69" s="178" t="s">
        <v>749</v>
      </c>
      <c r="I69" s="10" t="s">
        <v>750</v>
      </c>
      <c r="J69" s="30" t="s">
        <v>198</v>
      </c>
      <c r="K69" s="501" t="s">
        <v>199</v>
      </c>
    </row>
    <row r="70" spans="1:11" ht="29">
      <c r="B70" s="575"/>
      <c r="C70" s="445"/>
      <c r="D70" s="126" t="s">
        <v>200</v>
      </c>
      <c r="E70" s="30" t="s">
        <v>201</v>
      </c>
      <c r="F70" s="30"/>
      <c r="G70" s="30" t="s">
        <v>201</v>
      </c>
      <c r="H70" s="30"/>
      <c r="I70" s="30"/>
      <c r="J70" s="30" t="s">
        <v>201</v>
      </c>
      <c r="K70" s="445"/>
    </row>
    <row r="71" spans="1:11">
      <c r="B71" s="575"/>
      <c r="C71" s="445"/>
      <c r="D71" s="125" t="s">
        <v>202</v>
      </c>
      <c r="E71" s="603" t="s">
        <v>203</v>
      </c>
      <c r="F71" s="172"/>
      <c r="G71" s="444" t="s">
        <v>203</v>
      </c>
      <c r="H71" s="30"/>
      <c r="I71" s="30"/>
      <c r="J71" s="444" t="s">
        <v>203</v>
      </c>
      <c r="K71" s="447"/>
    </row>
    <row r="72" spans="1:11">
      <c r="B72" s="575"/>
      <c r="C72" s="445"/>
      <c r="D72" s="125" t="s">
        <v>204</v>
      </c>
      <c r="E72" s="604"/>
      <c r="F72" s="176"/>
      <c r="G72" s="501"/>
      <c r="H72" s="10"/>
      <c r="I72" s="10"/>
      <c r="J72" s="501"/>
      <c r="K72" s="447"/>
    </row>
    <row r="73" spans="1:11" ht="381.75" customHeight="1">
      <c r="B73" s="575"/>
      <c r="C73" s="445" t="s">
        <v>205</v>
      </c>
      <c r="D73" s="605" t="s">
        <v>206</v>
      </c>
      <c r="E73" s="444" t="s">
        <v>207</v>
      </c>
      <c r="F73" s="30"/>
      <c r="G73" s="444" t="s">
        <v>207</v>
      </c>
      <c r="H73" s="30" t="s">
        <v>751</v>
      </c>
      <c r="I73" s="30" t="s">
        <v>752</v>
      </c>
      <c r="J73" s="444" t="s">
        <v>207</v>
      </c>
      <c r="K73" s="447"/>
    </row>
    <row r="74" spans="1:11" ht="51.75" customHeight="1">
      <c r="B74" s="575"/>
      <c r="C74" s="445"/>
      <c r="D74" s="606"/>
      <c r="E74" s="444"/>
      <c r="F74" s="30"/>
      <c r="G74" s="444"/>
      <c r="H74" s="30"/>
      <c r="I74" s="30"/>
      <c r="J74" s="444"/>
      <c r="K74" s="447"/>
    </row>
    <row r="75" spans="1:11" ht="43.5">
      <c r="B75" s="575"/>
      <c r="C75" s="445"/>
      <c r="D75" s="125" t="s">
        <v>753</v>
      </c>
      <c r="E75" s="501"/>
      <c r="F75" s="10"/>
      <c r="G75" s="501"/>
      <c r="H75" s="73" t="s">
        <v>754</v>
      </c>
      <c r="I75" s="10" t="s">
        <v>755</v>
      </c>
      <c r="J75" s="501"/>
      <c r="K75" s="447"/>
    </row>
    <row r="76" spans="1:11" ht="29">
      <c r="B76" s="575"/>
      <c r="C76" s="445"/>
      <c r="D76" s="125" t="s">
        <v>209</v>
      </c>
      <c r="E76" s="180" t="s">
        <v>210</v>
      </c>
      <c r="F76" s="172"/>
      <c r="G76" s="30" t="s">
        <v>210</v>
      </c>
      <c r="H76" s="30"/>
      <c r="I76" s="30"/>
      <c r="J76" s="30" t="s">
        <v>210</v>
      </c>
      <c r="K76" s="447"/>
    </row>
    <row r="77" spans="1:11">
      <c r="C77" s="150" t="s">
        <v>211</v>
      </c>
      <c r="D77" s="147"/>
      <c r="E77" s="592"/>
      <c r="F77" s="592"/>
      <c r="G77" s="447"/>
      <c r="H77" s="447"/>
      <c r="I77" s="447"/>
      <c r="J77" s="447"/>
      <c r="K77" s="447"/>
    </row>
    <row r="78" spans="1:11">
      <c r="C78" s="583" t="s">
        <v>212</v>
      </c>
      <c r="D78" s="583"/>
      <c r="E78" s="593"/>
      <c r="F78" s="593"/>
      <c r="G78" s="593"/>
      <c r="H78" s="593"/>
      <c r="I78" s="593"/>
      <c r="J78" s="593"/>
      <c r="K78" s="447"/>
    </row>
    <row r="79" spans="1:11" ht="58">
      <c r="A79" s="113"/>
      <c r="B79" s="575" t="s">
        <v>719</v>
      </c>
      <c r="C79" s="444" t="s">
        <v>213</v>
      </c>
      <c r="D79" s="72" t="s">
        <v>214</v>
      </c>
      <c r="E79" s="444" t="s">
        <v>215</v>
      </c>
      <c r="F79" s="30"/>
      <c r="G79" s="30" t="s">
        <v>216</v>
      </c>
      <c r="H79" s="30" t="s">
        <v>756</v>
      </c>
      <c r="I79" s="30"/>
      <c r="J79" s="30" t="s">
        <v>216</v>
      </c>
      <c r="K79" s="529" t="s">
        <v>217</v>
      </c>
    </row>
    <row r="80" spans="1:11" ht="43.5" customHeight="1">
      <c r="A80" s="113"/>
      <c r="B80" s="575"/>
      <c r="C80" s="445"/>
      <c r="D80" s="72" t="s">
        <v>218</v>
      </c>
      <c r="E80" s="501"/>
      <c r="F80" s="10"/>
      <c r="G80" s="30" t="s">
        <v>219</v>
      </c>
      <c r="H80" s="30" t="s">
        <v>757</v>
      </c>
      <c r="I80" s="30"/>
      <c r="J80" s="30" t="s">
        <v>219</v>
      </c>
      <c r="K80" s="447"/>
    </row>
    <row r="81" spans="1:11">
      <c r="A81" s="113"/>
      <c r="C81" s="591" t="s">
        <v>220</v>
      </c>
      <c r="D81" s="447"/>
      <c r="E81" s="447"/>
      <c r="F81" s="447"/>
      <c r="G81" s="447"/>
      <c r="H81" s="447"/>
      <c r="I81" s="447"/>
      <c r="J81" s="447"/>
      <c r="K81" s="447"/>
    </row>
    <row r="82" spans="1:11">
      <c r="A82" s="113"/>
      <c r="C82" s="582" t="s">
        <v>221</v>
      </c>
      <c r="D82" s="445"/>
      <c r="E82" s="445"/>
      <c r="F82" s="445"/>
      <c r="G82" s="445"/>
      <c r="H82" s="445"/>
      <c r="I82" s="445"/>
      <c r="J82" s="445"/>
      <c r="K82" s="447"/>
    </row>
    <row r="83" spans="1:11" ht="29">
      <c r="A83" s="113"/>
      <c r="B83" s="575" t="s">
        <v>720</v>
      </c>
      <c r="C83" s="444" t="s">
        <v>222</v>
      </c>
      <c r="D83" s="30" t="s">
        <v>223</v>
      </c>
      <c r="E83" s="30" t="s">
        <v>224</v>
      </c>
      <c r="F83" s="30"/>
      <c r="G83" s="30" t="s">
        <v>224</v>
      </c>
      <c r="H83" s="30"/>
      <c r="I83" s="30"/>
      <c r="J83" s="10" t="s">
        <v>224</v>
      </c>
      <c r="K83" s="501" t="s">
        <v>225</v>
      </c>
    </row>
    <row r="84" spans="1:11" ht="29">
      <c r="A84" s="113"/>
      <c r="B84" s="575"/>
      <c r="C84" s="446"/>
      <c r="D84" s="30" t="s">
        <v>226</v>
      </c>
      <c r="E84" s="30" t="s">
        <v>227</v>
      </c>
      <c r="F84" s="30"/>
      <c r="G84" s="30" t="s">
        <v>228</v>
      </c>
      <c r="H84" s="30" t="s">
        <v>758</v>
      </c>
      <c r="I84" s="30"/>
      <c r="J84" s="10" t="s">
        <v>228</v>
      </c>
      <c r="K84" s="501"/>
    </row>
    <row r="85" spans="1:11" ht="57" customHeight="1">
      <c r="A85" s="113"/>
      <c r="B85" s="575"/>
      <c r="C85" s="446"/>
      <c r="D85" s="30" t="s">
        <v>229</v>
      </c>
      <c r="E85" s="444" t="s">
        <v>230</v>
      </c>
      <c r="F85" s="30"/>
      <c r="G85" s="444" t="s">
        <v>231</v>
      </c>
      <c r="H85" s="30" t="s">
        <v>759</v>
      </c>
      <c r="I85" s="30"/>
      <c r="J85" s="501" t="s">
        <v>231</v>
      </c>
      <c r="K85" s="501"/>
    </row>
    <row r="86" spans="1:11">
      <c r="A86" s="113"/>
      <c r="B86" s="575"/>
      <c r="C86" s="446"/>
      <c r="D86" s="30" t="s">
        <v>232</v>
      </c>
      <c r="E86" s="529"/>
      <c r="F86" s="73"/>
      <c r="G86" s="529"/>
      <c r="H86" s="73"/>
      <c r="I86" s="73"/>
      <c r="J86" s="501"/>
      <c r="K86" s="501"/>
    </row>
    <row r="87" spans="1:11" ht="70.5" customHeight="1">
      <c r="A87" s="113"/>
      <c r="B87" s="575"/>
      <c r="C87" s="444" t="s">
        <v>233</v>
      </c>
      <c r="D87" s="30" t="s">
        <v>234</v>
      </c>
      <c r="E87" s="30" t="s">
        <v>235</v>
      </c>
      <c r="F87" s="30"/>
      <c r="G87" s="30" t="s">
        <v>236</v>
      </c>
      <c r="H87" s="30" t="s">
        <v>760</v>
      </c>
      <c r="I87" s="30"/>
      <c r="J87" s="10" t="s">
        <v>237</v>
      </c>
      <c r="K87" s="501"/>
    </row>
    <row r="88" spans="1:11" ht="43.5">
      <c r="A88" s="113"/>
      <c r="B88" s="575"/>
      <c r="C88" s="501"/>
      <c r="D88" s="30" t="s">
        <v>238</v>
      </c>
      <c r="E88" s="30" t="s">
        <v>239</v>
      </c>
      <c r="F88" s="30"/>
      <c r="G88" s="30" t="s">
        <v>240</v>
      </c>
      <c r="H88" s="30" t="s">
        <v>761</v>
      </c>
      <c r="I88" s="30"/>
      <c r="J88" s="10" t="s">
        <v>240</v>
      </c>
      <c r="K88" s="501"/>
    </row>
    <row r="89" spans="1:11">
      <c r="A89" s="113"/>
      <c r="B89" s="575"/>
      <c r="C89" s="444" t="s">
        <v>241</v>
      </c>
      <c r="D89" s="30" t="s">
        <v>242</v>
      </c>
      <c r="E89" s="30" t="s">
        <v>243</v>
      </c>
      <c r="F89" s="30"/>
      <c r="G89" s="30" t="s">
        <v>243</v>
      </c>
      <c r="H89" s="30"/>
      <c r="I89" s="30"/>
      <c r="J89" s="10" t="s">
        <v>243</v>
      </c>
      <c r="K89" s="501"/>
    </row>
    <row r="90" spans="1:11" ht="29">
      <c r="A90" s="113"/>
      <c r="B90" s="575"/>
      <c r="C90" s="445"/>
      <c r="D90" s="30" t="s">
        <v>244</v>
      </c>
      <c r="E90" s="45" t="s">
        <v>245</v>
      </c>
      <c r="F90" s="45"/>
      <c r="G90" s="30" t="s">
        <v>246</v>
      </c>
      <c r="H90" s="30" t="s">
        <v>762</v>
      </c>
      <c r="I90" s="30"/>
      <c r="J90" s="10" t="s">
        <v>246</v>
      </c>
      <c r="K90" s="501"/>
    </row>
    <row r="91" spans="1:11" ht="29">
      <c r="A91" s="113"/>
      <c r="B91" s="575"/>
      <c r="C91" s="445"/>
      <c r="D91" s="30" t="s">
        <v>82</v>
      </c>
      <c r="E91" s="30" t="s">
        <v>247</v>
      </c>
      <c r="F91" s="30"/>
      <c r="G91" s="30" t="s">
        <v>248</v>
      </c>
      <c r="H91" s="30"/>
      <c r="I91" s="30"/>
      <c r="J91" s="10" t="s">
        <v>249</v>
      </c>
      <c r="K91" s="501"/>
    </row>
    <row r="92" spans="1:11" ht="29">
      <c r="A92" s="113"/>
      <c r="B92" s="575"/>
      <c r="C92" s="445"/>
      <c r="D92" s="30" t="s">
        <v>250</v>
      </c>
      <c r="E92" s="30" t="s">
        <v>251</v>
      </c>
      <c r="F92" s="30"/>
      <c r="G92" s="30" t="s">
        <v>252</v>
      </c>
      <c r="H92" s="30"/>
      <c r="I92" s="30"/>
      <c r="J92" s="10" t="s">
        <v>253</v>
      </c>
      <c r="K92" s="501"/>
    </row>
    <row r="93" spans="1:11" ht="43.5">
      <c r="A93" s="113"/>
      <c r="B93" s="575"/>
      <c r="C93" s="445"/>
      <c r="D93" s="30" t="s">
        <v>254</v>
      </c>
      <c r="E93" s="45" t="s">
        <v>255</v>
      </c>
      <c r="F93" s="45"/>
      <c r="G93" s="45" t="s">
        <v>255</v>
      </c>
      <c r="H93" s="45" t="s">
        <v>763</v>
      </c>
      <c r="I93" s="45"/>
      <c r="J93" s="10" t="s">
        <v>255</v>
      </c>
      <c r="K93" s="501"/>
    </row>
    <row r="94" spans="1:11">
      <c r="C94" s="590" t="s">
        <v>256</v>
      </c>
      <c r="D94" s="590"/>
      <c r="E94" s="590"/>
      <c r="F94" s="590"/>
      <c r="G94" s="590"/>
      <c r="H94" s="590"/>
      <c r="I94" s="590"/>
      <c r="J94" s="590"/>
      <c r="K94" s="529"/>
    </row>
    <row r="95" spans="1:11">
      <c r="C95" s="150" t="s">
        <v>257</v>
      </c>
      <c r="D95" s="151"/>
      <c r="E95" s="161"/>
      <c r="F95" s="161"/>
      <c r="G95" s="161"/>
      <c r="H95" s="161"/>
      <c r="I95" s="161"/>
      <c r="J95" s="584"/>
      <c r="K95" s="584"/>
    </row>
    <row r="96" spans="1:11">
      <c r="C96" s="583" t="s">
        <v>258</v>
      </c>
      <c r="D96" s="583"/>
      <c r="E96" s="583"/>
      <c r="F96" s="583"/>
      <c r="G96" s="583"/>
      <c r="H96" s="583"/>
      <c r="I96" s="583"/>
      <c r="J96" s="583"/>
      <c r="K96" s="583"/>
    </row>
    <row r="97" spans="2:11" ht="29">
      <c r="B97" s="575" t="s">
        <v>721</v>
      </c>
      <c r="C97" s="444" t="s">
        <v>259</v>
      </c>
      <c r="D97" s="72" t="s">
        <v>260</v>
      </c>
      <c r="E97" s="30" t="s">
        <v>261</v>
      </c>
      <c r="F97" s="30"/>
      <c r="G97" s="30" t="s">
        <v>262</v>
      </c>
      <c r="H97" s="30"/>
      <c r="I97" s="30"/>
      <c r="J97" s="30" t="s">
        <v>263</v>
      </c>
      <c r="K97" s="501" t="s">
        <v>264</v>
      </c>
    </row>
    <row r="98" spans="2:11" ht="29">
      <c r="B98" s="575"/>
      <c r="C98" s="445"/>
      <c r="D98" s="72" t="s">
        <v>265</v>
      </c>
      <c r="E98" s="444" t="s">
        <v>266</v>
      </c>
      <c r="F98" s="30"/>
      <c r="G98" s="30" t="s">
        <v>267</v>
      </c>
      <c r="H98" s="30"/>
      <c r="I98" s="30"/>
      <c r="J98" s="30" t="s">
        <v>268</v>
      </c>
      <c r="K98" s="501"/>
    </row>
    <row r="99" spans="2:11" ht="29">
      <c r="B99" s="575"/>
      <c r="C99" s="445"/>
      <c r="D99" s="72" t="s">
        <v>269</v>
      </c>
      <c r="E99" s="501"/>
      <c r="F99" s="10"/>
      <c r="G99" s="30" t="s">
        <v>270</v>
      </c>
      <c r="H99" s="30"/>
      <c r="I99" s="30"/>
      <c r="J99" s="30" t="s">
        <v>271</v>
      </c>
      <c r="K99" s="501"/>
    </row>
    <row r="100" spans="2:11" ht="29">
      <c r="B100" s="575"/>
      <c r="C100" s="444" t="s">
        <v>272</v>
      </c>
      <c r="D100" s="72" t="s">
        <v>273</v>
      </c>
      <c r="E100" s="444" t="s">
        <v>274</v>
      </c>
      <c r="F100" s="30"/>
      <c r="G100" s="30" t="s">
        <v>275</v>
      </c>
      <c r="H100" s="30"/>
      <c r="I100" s="30"/>
      <c r="J100" s="30" t="s">
        <v>276</v>
      </c>
      <c r="K100" s="334" t="s">
        <v>277</v>
      </c>
    </row>
    <row r="101" spans="2:11">
      <c r="B101" s="575"/>
      <c r="C101" s="445"/>
      <c r="D101" s="72" t="s">
        <v>278</v>
      </c>
      <c r="E101" s="501"/>
      <c r="F101" s="10"/>
      <c r="G101" s="444" t="s">
        <v>279</v>
      </c>
      <c r="H101" s="30"/>
      <c r="I101" s="30"/>
      <c r="J101" s="444" t="s">
        <v>280</v>
      </c>
      <c r="K101" s="589"/>
    </row>
    <row r="102" spans="2:11">
      <c r="B102" s="575"/>
      <c r="C102" s="445"/>
      <c r="D102" s="72" t="s">
        <v>281</v>
      </c>
      <c r="E102" s="501"/>
      <c r="F102" s="10"/>
      <c r="G102" s="501"/>
      <c r="H102" s="10"/>
      <c r="I102" s="10"/>
      <c r="J102" s="501"/>
      <c r="K102" s="589"/>
    </row>
    <row r="103" spans="2:11" ht="29">
      <c r="B103" s="575"/>
      <c r="C103" s="445"/>
      <c r="D103" s="30" t="s">
        <v>282</v>
      </c>
      <c r="E103" s="444" t="s">
        <v>283</v>
      </c>
      <c r="F103" s="30"/>
      <c r="G103" s="444" t="s">
        <v>284</v>
      </c>
      <c r="H103" s="30"/>
      <c r="I103" s="30"/>
      <c r="J103" s="444" t="s">
        <v>285</v>
      </c>
      <c r="K103" s="589"/>
    </row>
    <row r="104" spans="2:11">
      <c r="B104" s="575"/>
      <c r="C104" s="445"/>
      <c r="D104" s="72" t="s">
        <v>82</v>
      </c>
      <c r="E104" s="501"/>
      <c r="F104" s="10"/>
      <c r="G104" s="501"/>
      <c r="H104" s="10"/>
      <c r="I104" s="10"/>
      <c r="J104" s="501"/>
      <c r="K104" s="589"/>
    </row>
    <row r="105" spans="2:11">
      <c r="B105" s="575"/>
      <c r="C105" s="447"/>
      <c r="D105" s="72" t="s">
        <v>286</v>
      </c>
      <c r="E105" s="444" t="s">
        <v>287</v>
      </c>
      <c r="F105" s="30"/>
      <c r="G105" s="30" t="s">
        <v>279</v>
      </c>
      <c r="H105" s="30"/>
      <c r="I105" s="30"/>
      <c r="J105" s="30" t="s">
        <v>280</v>
      </c>
      <c r="K105" s="589"/>
    </row>
    <row r="106" spans="2:11" ht="29">
      <c r="B106" s="575"/>
      <c r="C106" s="447"/>
      <c r="D106" s="30" t="s">
        <v>288</v>
      </c>
      <c r="E106" s="501"/>
      <c r="F106" s="10"/>
      <c r="G106" s="30" t="s">
        <v>289</v>
      </c>
      <c r="H106" s="30" t="s">
        <v>764</v>
      </c>
      <c r="I106" s="30"/>
      <c r="J106" s="30" t="s">
        <v>290</v>
      </c>
      <c r="K106" s="589"/>
    </row>
    <row r="107" spans="2:11" ht="29">
      <c r="B107" s="575"/>
      <c r="C107" s="447"/>
      <c r="D107" s="72" t="s">
        <v>291</v>
      </c>
      <c r="E107" s="444" t="s">
        <v>292</v>
      </c>
      <c r="F107" s="30"/>
      <c r="G107" s="30" t="s">
        <v>293</v>
      </c>
      <c r="H107" s="30"/>
      <c r="I107" s="30"/>
      <c r="J107" s="30" t="s">
        <v>294</v>
      </c>
      <c r="K107" s="589"/>
    </row>
    <row r="108" spans="2:11">
      <c r="B108" s="575"/>
      <c r="C108" s="447"/>
      <c r="D108" s="72" t="s">
        <v>82</v>
      </c>
      <c r="E108" s="501"/>
      <c r="F108" s="10"/>
      <c r="G108" s="30" t="s">
        <v>295</v>
      </c>
      <c r="H108" s="30"/>
      <c r="I108" s="30"/>
      <c r="J108" s="127" t="s">
        <v>296</v>
      </c>
      <c r="K108" s="589"/>
    </row>
    <row r="109" spans="2:11" ht="51.75" customHeight="1">
      <c r="B109" s="575"/>
      <c r="C109" s="447"/>
      <c r="D109" s="72" t="s">
        <v>291</v>
      </c>
      <c r="E109" s="444" t="s">
        <v>297</v>
      </c>
      <c r="F109" s="30"/>
      <c r="G109" s="30" t="s">
        <v>298</v>
      </c>
      <c r="H109" s="30" t="s">
        <v>765</v>
      </c>
      <c r="I109" s="30" t="s">
        <v>766</v>
      </c>
      <c r="J109" s="30" t="s">
        <v>299</v>
      </c>
      <c r="K109" s="589"/>
    </row>
    <row r="110" spans="2:11" ht="29">
      <c r="B110" s="575"/>
      <c r="C110" s="447"/>
      <c r="D110" s="72" t="s">
        <v>82</v>
      </c>
      <c r="E110" s="501"/>
      <c r="F110" s="10"/>
      <c r="G110" s="30" t="s">
        <v>300</v>
      </c>
      <c r="H110" s="30"/>
      <c r="I110" s="30"/>
      <c r="J110" s="30" t="s">
        <v>301</v>
      </c>
      <c r="K110" s="589"/>
    </row>
    <row r="111" spans="2:11">
      <c r="B111" s="575"/>
      <c r="C111" s="447"/>
      <c r="D111" s="72" t="s">
        <v>291</v>
      </c>
      <c r="E111" s="444" t="s">
        <v>302</v>
      </c>
      <c r="F111" s="30"/>
      <c r="G111" s="30" t="s">
        <v>298</v>
      </c>
      <c r="H111" s="30"/>
      <c r="I111" s="30"/>
      <c r="J111" s="30" t="s">
        <v>299</v>
      </c>
      <c r="K111" s="589"/>
    </row>
    <row r="112" spans="2:11" ht="29">
      <c r="B112" s="575"/>
      <c r="C112" s="447"/>
      <c r="D112" s="72" t="s">
        <v>82</v>
      </c>
      <c r="E112" s="501"/>
      <c r="F112" s="10"/>
      <c r="G112" s="30" t="s">
        <v>300</v>
      </c>
      <c r="H112" s="30"/>
      <c r="I112" s="30"/>
      <c r="J112" s="30" t="s">
        <v>301</v>
      </c>
      <c r="K112" s="589"/>
    </row>
    <row r="113" spans="2:11">
      <c r="B113" s="575"/>
      <c r="C113" s="447"/>
      <c r="D113" s="72" t="s">
        <v>303</v>
      </c>
      <c r="E113" s="444" t="s">
        <v>304</v>
      </c>
      <c r="F113" s="30"/>
      <c r="G113" s="30" t="s">
        <v>305</v>
      </c>
      <c r="H113" s="30"/>
      <c r="I113" s="30"/>
      <c r="J113" s="45" t="s">
        <v>306</v>
      </c>
      <c r="K113" s="589"/>
    </row>
    <row r="114" spans="2:11" ht="57.75" customHeight="1">
      <c r="B114" s="575"/>
      <c r="C114" s="447"/>
      <c r="D114" s="72" t="s">
        <v>82</v>
      </c>
      <c r="E114" s="501"/>
      <c r="F114" s="10"/>
      <c r="G114" s="30" t="s">
        <v>300</v>
      </c>
      <c r="H114" s="30" t="s">
        <v>767</v>
      </c>
      <c r="I114" s="30" t="s">
        <v>768</v>
      </c>
      <c r="J114" s="30" t="s">
        <v>301</v>
      </c>
      <c r="K114" s="589"/>
    </row>
    <row r="115" spans="2:11" ht="29">
      <c r="B115" s="575"/>
      <c r="C115" s="447"/>
      <c r="D115" s="72" t="s">
        <v>82</v>
      </c>
      <c r="E115" s="444" t="s">
        <v>307</v>
      </c>
      <c r="F115" s="30"/>
      <c r="G115" s="30" t="s">
        <v>308</v>
      </c>
      <c r="H115" s="30"/>
      <c r="I115" s="30"/>
      <c r="J115" s="30" t="s">
        <v>309</v>
      </c>
      <c r="K115" s="589"/>
    </row>
    <row r="116" spans="2:11" ht="29">
      <c r="B116" s="575"/>
      <c r="C116" s="447"/>
      <c r="D116" s="72" t="s">
        <v>310</v>
      </c>
      <c r="E116" s="501"/>
      <c r="F116" s="10"/>
      <c r="G116" s="30" t="s">
        <v>300</v>
      </c>
      <c r="H116" s="30"/>
      <c r="I116" s="30"/>
      <c r="J116" s="30" t="s">
        <v>301</v>
      </c>
      <c r="K116" s="589"/>
    </row>
    <row r="117" spans="2:11" ht="43.5">
      <c r="B117" s="575"/>
      <c r="C117" s="444" t="s">
        <v>311</v>
      </c>
      <c r="D117" s="30" t="s">
        <v>769</v>
      </c>
      <c r="E117" s="444" t="s">
        <v>313</v>
      </c>
      <c r="F117" s="30"/>
      <c r="G117" s="30" t="s">
        <v>314</v>
      </c>
      <c r="H117" s="172"/>
      <c r="I117" s="30"/>
      <c r="J117" s="30" t="s">
        <v>315</v>
      </c>
      <c r="K117" s="589"/>
    </row>
    <row r="118" spans="2:11" ht="43.5">
      <c r="B118" s="575"/>
      <c r="C118" s="445"/>
      <c r="D118" s="72" t="s">
        <v>316</v>
      </c>
      <c r="E118" s="501"/>
      <c r="F118" s="10"/>
      <c r="G118" s="30" t="s">
        <v>317</v>
      </c>
      <c r="H118" s="30"/>
      <c r="I118" s="30"/>
      <c r="J118" s="30" t="s">
        <v>318</v>
      </c>
      <c r="K118" s="589"/>
    </row>
    <row r="119" spans="2:11" ht="43.5">
      <c r="B119" s="575"/>
      <c r="C119" s="446" t="s">
        <v>319</v>
      </c>
      <c r="D119" s="72" t="s">
        <v>320</v>
      </c>
      <c r="E119" s="30" t="s">
        <v>321</v>
      </c>
      <c r="F119" s="30"/>
      <c r="G119" s="30" t="s">
        <v>322</v>
      </c>
      <c r="H119" s="30"/>
      <c r="I119" s="30"/>
      <c r="J119" s="30" t="s">
        <v>323</v>
      </c>
      <c r="K119" s="589"/>
    </row>
    <row r="120" spans="2:11" ht="29">
      <c r="B120" s="575"/>
      <c r="C120" s="445"/>
      <c r="D120" s="72" t="s">
        <v>324</v>
      </c>
      <c r="E120" s="30" t="s">
        <v>325</v>
      </c>
      <c r="F120" s="30"/>
      <c r="G120" s="30" t="s">
        <v>326</v>
      </c>
      <c r="H120" s="30"/>
      <c r="I120" s="30"/>
      <c r="J120" s="45" t="s">
        <v>327</v>
      </c>
      <c r="K120" s="589"/>
    </row>
    <row r="121" spans="2:11" ht="43.5">
      <c r="B121" s="575"/>
      <c r="C121" s="445"/>
      <c r="D121" s="72" t="s">
        <v>328</v>
      </c>
      <c r="E121" s="30" t="s">
        <v>329</v>
      </c>
      <c r="F121" s="30"/>
      <c r="G121" s="30" t="s">
        <v>330</v>
      </c>
      <c r="H121" s="30"/>
      <c r="I121" s="30"/>
      <c r="J121" s="30" t="s">
        <v>330</v>
      </c>
      <c r="K121" s="589"/>
    </row>
    <row r="122" spans="2:11">
      <c r="C122" s="162" t="s">
        <v>331</v>
      </c>
      <c r="D122" s="147"/>
      <c r="E122" s="148"/>
      <c r="F122" s="148"/>
      <c r="G122" s="148"/>
      <c r="H122" s="148"/>
      <c r="I122" s="148"/>
      <c r="J122" s="148"/>
      <c r="K122" s="149"/>
    </row>
    <row r="123" spans="2:11">
      <c r="C123" s="583" t="s">
        <v>332</v>
      </c>
      <c r="D123" s="548"/>
      <c r="E123" s="548"/>
      <c r="F123" s="548"/>
      <c r="G123" s="548"/>
      <c r="H123" s="548"/>
      <c r="I123" s="548"/>
      <c r="J123" s="548"/>
      <c r="K123" s="548"/>
    </row>
    <row r="124" spans="2:11" ht="29">
      <c r="C124" s="45" t="s">
        <v>333</v>
      </c>
      <c r="D124" s="72" t="s">
        <v>334</v>
      </c>
      <c r="E124" s="45" t="s">
        <v>335</v>
      </c>
      <c r="F124" s="45"/>
      <c r="G124" s="45" t="s">
        <v>336</v>
      </c>
      <c r="H124" s="45" t="s">
        <v>770</v>
      </c>
      <c r="I124" s="45" t="s">
        <v>771</v>
      </c>
      <c r="J124" s="30" t="s">
        <v>337</v>
      </c>
      <c r="K124" s="501" t="s">
        <v>338</v>
      </c>
    </row>
    <row r="125" spans="2:11">
      <c r="B125" s="575" t="s">
        <v>332</v>
      </c>
      <c r="C125" s="446" t="s">
        <v>339</v>
      </c>
      <c r="D125" s="118" t="s">
        <v>340</v>
      </c>
      <c r="E125" s="45" t="s">
        <v>341</v>
      </c>
      <c r="F125" s="45"/>
      <c r="G125" s="45" t="s">
        <v>342</v>
      </c>
      <c r="H125" s="45"/>
      <c r="I125" s="45"/>
      <c r="J125" s="45" t="s">
        <v>342</v>
      </c>
      <c r="K125" s="445"/>
    </row>
    <row r="126" spans="2:11" ht="29">
      <c r="B126" s="575"/>
      <c r="C126" s="445"/>
      <c r="D126" s="118" t="s">
        <v>82</v>
      </c>
      <c r="E126" s="45" t="s">
        <v>343</v>
      </c>
      <c r="F126" s="45"/>
      <c r="G126" s="30" t="s">
        <v>344</v>
      </c>
      <c r="H126" s="30"/>
      <c r="I126" s="30"/>
      <c r="J126" s="45" t="s">
        <v>344</v>
      </c>
      <c r="K126" s="445"/>
    </row>
    <row r="127" spans="2:11" ht="29">
      <c r="B127" s="575"/>
      <c r="C127" s="447"/>
      <c r="D127" s="72" t="s">
        <v>345</v>
      </c>
      <c r="E127" s="30" t="s">
        <v>346</v>
      </c>
      <c r="F127" s="30"/>
      <c r="G127" s="30" t="s">
        <v>347</v>
      </c>
      <c r="H127" s="30"/>
      <c r="I127" s="30"/>
      <c r="J127" s="30" t="s">
        <v>347</v>
      </c>
      <c r="K127" s="445"/>
    </row>
    <row r="128" spans="2:11" ht="43.5">
      <c r="B128" s="575"/>
      <c r="C128" s="447"/>
      <c r="D128" s="118" t="s">
        <v>348</v>
      </c>
      <c r="E128" s="45" t="s">
        <v>349</v>
      </c>
      <c r="F128" s="45"/>
      <c r="G128" s="45" t="s">
        <v>350</v>
      </c>
      <c r="H128" s="45"/>
      <c r="I128" s="45"/>
      <c r="J128" s="45" t="s">
        <v>351</v>
      </c>
      <c r="K128" s="445"/>
    </row>
    <row r="129" spans="2:11" ht="29">
      <c r="B129" s="575"/>
      <c r="C129" s="447"/>
      <c r="D129" s="72" t="s">
        <v>352</v>
      </c>
      <c r="E129" s="30" t="s">
        <v>353</v>
      </c>
      <c r="F129" s="30"/>
      <c r="G129" s="444" t="s">
        <v>354</v>
      </c>
      <c r="H129" s="30"/>
      <c r="I129" s="30"/>
      <c r="J129" s="444" t="s">
        <v>354</v>
      </c>
      <c r="K129" s="445"/>
    </row>
    <row r="130" spans="2:11" ht="29">
      <c r="B130" s="575"/>
      <c r="C130" s="447"/>
      <c r="D130" s="72" t="s">
        <v>355</v>
      </c>
      <c r="E130" s="45" t="s">
        <v>356</v>
      </c>
      <c r="F130" s="45"/>
      <c r="G130" s="529"/>
      <c r="H130" s="73" t="s">
        <v>772</v>
      </c>
      <c r="I130" s="73"/>
      <c r="J130" s="529"/>
      <c r="K130" s="445"/>
    </row>
    <row r="131" spans="2:11" ht="43.5">
      <c r="B131" s="575"/>
      <c r="C131" s="447"/>
      <c r="D131" s="72" t="s">
        <v>357</v>
      </c>
      <c r="E131" s="30" t="s">
        <v>358</v>
      </c>
      <c r="F131" s="30"/>
      <c r="G131" s="30" t="s">
        <v>359</v>
      </c>
      <c r="H131" s="30"/>
      <c r="I131" s="30"/>
      <c r="J131" s="30" t="s">
        <v>359</v>
      </c>
      <c r="K131" s="445"/>
    </row>
    <row r="132" spans="2:11" ht="29">
      <c r="B132" s="575"/>
      <c r="C132" s="447"/>
      <c r="D132" s="72" t="s">
        <v>360</v>
      </c>
      <c r="E132" s="30" t="s">
        <v>361</v>
      </c>
      <c r="F132" s="30"/>
      <c r="G132" s="45" t="s">
        <v>362</v>
      </c>
      <c r="H132" s="45"/>
      <c r="I132" s="45"/>
      <c r="J132" s="30" t="s">
        <v>363</v>
      </c>
      <c r="K132" s="445"/>
    </row>
    <row r="133" spans="2:11" ht="43.5">
      <c r="B133" s="575"/>
      <c r="C133" s="447"/>
      <c r="D133" s="72" t="s">
        <v>364</v>
      </c>
      <c r="E133" s="30" t="s">
        <v>365</v>
      </c>
      <c r="F133" s="30"/>
      <c r="G133" s="45" t="s">
        <v>365</v>
      </c>
      <c r="H133" s="45"/>
      <c r="I133" s="45"/>
      <c r="J133" s="30" t="s">
        <v>365</v>
      </c>
      <c r="K133" s="445"/>
    </row>
    <row r="134" spans="2:11">
      <c r="B134" s="575"/>
      <c r="C134" s="447"/>
      <c r="D134" s="72" t="s">
        <v>174</v>
      </c>
      <c r="E134" s="507" t="s">
        <v>366</v>
      </c>
      <c r="F134" s="45"/>
      <c r="G134" s="444" t="s">
        <v>367</v>
      </c>
      <c r="H134" s="30"/>
      <c r="I134" s="30"/>
      <c r="J134" s="444" t="s">
        <v>367</v>
      </c>
      <c r="K134" s="445"/>
    </row>
    <row r="135" spans="2:11">
      <c r="B135" s="575"/>
      <c r="C135" s="447"/>
      <c r="D135" s="72" t="s">
        <v>82</v>
      </c>
      <c r="E135" s="529"/>
      <c r="F135" s="73"/>
      <c r="G135" s="529"/>
      <c r="H135" s="73"/>
      <c r="I135" s="73"/>
      <c r="J135" s="501"/>
      <c r="K135" s="445"/>
    </row>
    <row r="136" spans="2:11" ht="29">
      <c r="B136" s="575"/>
      <c r="C136" s="447"/>
      <c r="D136" s="72" t="s">
        <v>368</v>
      </c>
      <c r="E136" s="45" t="s">
        <v>369</v>
      </c>
      <c r="F136" s="45"/>
      <c r="G136" s="30" t="s">
        <v>370</v>
      </c>
      <c r="H136" s="30"/>
      <c r="I136" s="30"/>
      <c r="J136" s="30" t="s">
        <v>370</v>
      </c>
      <c r="K136" s="445"/>
    </row>
    <row r="137" spans="2:11" ht="58">
      <c r="B137" s="575"/>
      <c r="C137" s="447"/>
      <c r="D137" s="30" t="s">
        <v>174</v>
      </c>
      <c r="E137" s="444" t="s">
        <v>371</v>
      </c>
      <c r="F137" s="30"/>
      <c r="G137" s="444" t="s">
        <v>372</v>
      </c>
      <c r="H137" s="45" t="s">
        <v>773</v>
      </c>
      <c r="I137" s="45"/>
      <c r="J137" s="507" t="s">
        <v>372</v>
      </c>
      <c r="K137" s="445"/>
    </row>
    <row r="138" spans="2:11">
      <c r="B138" s="575"/>
      <c r="C138" s="447"/>
      <c r="D138" s="72" t="s">
        <v>82</v>
      </c>
      <c r="E138" s="501"/>
      <c r="F138" s="10"/>
      <c r="G138" s="501"/>
      <c r="H138" s="73"/>
      <c r="I138" s="73"/>
      <c r="J138" s="529"/>
      <c r="K138" s="445"/>
    </row>
    <row r="139" spans="2:11" ht="29">
      <c r="B139" s="575"/>
      <c r="C139" s="447"/>
      <c r="D139" s="72" t="s">
        <v>373</v>
      </c>
      <c r="E139" s="30" t="s">
        <v>374</v>
      </c>
      <c r="F139" s="30"/>
      <c r="G139" s="30" t="s">
        <v>374</v>
      </c>
      <c r="H139" s="30"/>
      <c r="I139" s="30"/>
      <c r="J139" s="30" t="s">
        <v>374</v>
      </c>
      <c r="K139" s="445"/>
    </row>
    <row r="140" spans="2:11" ht="58">
      <c r="B140" s="575"/>
      <c r="C140" s="447"/>
      <c r="D140" s="72" t="s">
        <v>174</v>
      </c>
      <c r="E140" s="444" t="s">
        <v>375</v>
      </c>
      <c r="F140" s="30"/>
      <c r="G140" s="444" t="s">
        <v>376</v>
      </c>
      <c r="H140" s="30" t="s">
        <v>774</v>
      </c>
      <c r="I140" s="30" t="s">
        <v>775</v>
      </c>
      <c r="J140" s="444" t="s">
        <v>377</v>
      </c>
      <c r="K140" s="445"/>
    </row>
    <row r="141" spans="2:11">
      <c r="B141" s="575"/>
      <c r="C141" s="447"/>
      <c r="D141" s="72" t="s">
        <v>82</v>
      </c>
      <c r="E141" s="501"/>
      <c r="F141" s="10"/>
      <c r="G141" s="501"/>
      <c r="H141" s="10"/>
      <c r="I141" s="10"/>
      <c r="J141" s="501"/>
      <c r="K141" s="445"/>
    </row>
    <row r="142" spans="2:11">
      <c r="B142" s="575"/>
      <c r="C142" s="444" t="s">
        <v>378</v>
      </c>
      <c r="D142" s="72" t="s">
        <v>174</v>
      </c>
      <c r="E142" s="444" t="s">
        <v>379</v>
      </c>
      <c r="F142" s="30"/>
      <c r="G142" s="507" t="s">
        <v>380</v>
      </c>
      <c r="H142" s="45"/>
      <c r="I142" s="45"/>
      <c r="J142" s="507" t="s">
        <v>381</v>
      </c>
      <c r="K142" s="445"/>
    </row>
    <row r="143" spans="2:11">
      <c r="B143" s="575"/>
      <c r="C143" s="445"/>
      <c r="D143" s="72" t="s">
        <v>82</v>
      </c>
      <c r="E143" s="529"/>
      <c r="F143" s="73"/>
      <c r="G143" s="529"/>
      <c r="H143" s="73"/>
      <c r="I143" s="73"/>
      <c r="J143" s="529"/>
      <c r="K143" s="445"/>
    </row>
    <row r="144" spans="2:11" ht="43.5">
      <c r="B144" s="575"/>
      <c r="C144" s="445"/>
      <c r="D144" s="72" t="s">
        <v>382</v>
      </c>
      <c r="E144" s="127" t="s">
        <v>722</v>
      </c>
      <c r="F144" s="127"/>
      <c r="G144" s="30" t="s">
        <v>384</v>
      </c>
      <c r="H144" s="30"/>
      <c r="I144" s="30"/>
      <c r="J144" s="45" t="s">
        <v>384</v>
      </c>
      <c r="K144" s="445"/>
    </row>
    <row r="145" spans="2:11">
      <c r="C145" s="588" t="s">
        <v>385</v>
      </c>
      <c r="D145" s="447"/>
      <c r="E145" s="447"/>
      <c r="F145" s="447"/>
      <c r="G145" s="447"/>
      <c r="H145" s="447"/>
      <c r="I145" s="447"/>
      <c r="J145" s="447"/>
      <c r="K145" s="447"/>
    </row>
    <row r="146" spans="2:11">
      <c r="C146" s="583" t="s">
        <v>386</v>
      </c>
      <c r="D146" s="447"/>
      <c r="E146" s="447"/>
      <c r="F146" s="447"/>
      <c r="G146" s="447"/>
      <c r="H146" s="447"/>
      <c r="I146" s="447"/>
      <c r="J146" s="447"/>
      <c r="K146" s="63"/>
    </row>
    <row r="147" spans="2:11" ht="43.5">
      <c r="B147" s="575" t="s">
        <v>723</v>
      </c>
      <c r="C147" s="446" t="s">
        <v>387</v>
      </c>
      <c r="D147" s="128" t="s">
        <v>724</v>
      </c>
      <c r="E147" s="30" t="s">
        <v>389</v>
      </c>
      <c r="F147" s="30"/>
      <c r="G147" s="30" t="s">
        <v>390</v>
      </c>
      <c r="H147" s="30"/>
      <c r="I147" s="30"/>
      <c r="J147" s="501" t="s">
        <v>391</v>
      </c>
      <c r="K147" s="501" t="s">
        <v>392</v>
      </c>
    </row>
    <row r="148" spans="2:11" ht="29">
      <c r="B148" s="575"/>
      <c r="C148" s="446"/>
      <c r="D148" s="125" t="s">
        <v>393</v>
      </c>
      <c r="E148" s="30" t="s">
        <v>394</v>
      </c>
      <c r="F148" s="30"/>
      <c r="G148" s="30" t="s">
        <v>395</v>
      </c>
      <c r="H148" s="30"/>
      <c r="I148" s="30"/>
      <c r="J148" s="501"/>
      <c r="K148" s="501"/>
    </row>
    <row r="149" spans="2:11">
      <c r="B149" s="575"/>
      <c r="C149" s="446" t="s">
        <v>396</v>
      </c>
      <c r="D149" s="125" t="s">
        <v>397</v>
      </c>
      <c r="E149" s="30" t="s">
        <v>398</v>
      </c>
      <c r="F149" s="30"/>
      <c r="G149" s="45" t="s">
        <v>399</v>
      </c>
      <c r="H149" s="45"/>
      <c r="I149" s="45"/>
      <c r="J149" s="501" t="s">
        <v>400</v>
      </c>
      <c r="K149" s="501"/>
    </row>
    <row r="150" spans="2:11">
      <c r="B150" s="575"/>
      <c r="C150" s="446"/>
      <c r="D150" s="125" t="s">
        <v>401</v>
      </c>
      <c r="E150" s="30" t="s">
        <v>402</v>
      </c>
      <c r="F150" s="30"/>
      <c r="G150" s="45" t="s">
        <v>403</v>
      </c>
      <c r="H150" s="45"/>
      <c r="I150" s="45"/>
      <c r="J150" s="529"/>
      <c r="K150" s="501"/>
    </row>
    <row r="151" spans="2:11" ht="43.5">
      <c r="B151" s="575"/>
      <c r="C151" s="446" t="s">
        <v>404</v>
      </c>
      <c r="D151" s="125" t="s">
        <v>352</v>
      </c>
      <c r="E151" s="30" t="s">
        <v>405</v>
      </c>
      <c r="F151" s="30"/>
      <c r="G151" s="30" t="s">
        <v>406</v>
      </c>
      <c r="H151" s="30" t="s">
        <v>776</v>
      </c>
      <c r="I151" s="30"/>
      <c r="J151" s="501" t="s">
        <v>407</v>
      </c>
      <c r="K151" s="501" t="s">
        <v>408</v>
      </c>
    </row>
    <row r="152" spans="2:11" ht="29.25" customHeight="1">
      <c r="B152" s="575"/>
      <c r="C152" s="446"/>
      <c r="D152" s="125" t="s">
        <v>409</v>
      </c>
      <c r="E152" s="30" t="s">
        <v>410</v>
      </c>
      <c r="F152" s="30"/>
      <c r="G152" s="45" t="s">
        <v>411</v>
      </c>
      <c r="H152" s="45" t="s">
        <v>777</v>
      </c>
      <c r="I152" s="45"/>
      <c r="J152" s="529"/>
      <c r="K152" s="501"/>
    </row>
    <row r="153" spans="2:11" ht="29">
      <c r="B153" s="575"/>
      <c r="C153" s="444" t="s">
        <v>412</v>
      </c>
      <c r="D153" s="125" t="s">
        <v>413</v>
      </c>
      <c r="E153" s="30" t="s">
        <v>414</v>
      </c>
      <c r="F153" s="30"/>
      <c r="G153" s="45" t="s">
        <v>415</v>
      </c>
      <c r="H153" s="45" t="s">
        <v>778</v>
      </c>
      <c r="I153" s="45"/>
      <c r="J153" s="501" t="s">
        <v>416</v>
      </c>
      <c r="K153" s="501"/>
    </row>
    <row r="154" spans="2:11">
      <c r="B154" s="575"/>
      <c r="C154" s="510"/>
      <c r="D154" s="125" t="s">
        <v>417</v>
      </c>
      <c r="E154" s="30" t="s">
        <v>418</v>
      </c>
      <c r="F154" s="30"/>
      <c r="G154" s="45" t="s">
        <v>419</v>
      </c>
      <c r="I154" s="45"/>
      <c r="J154" s="501"/>
      <c r="K154" s="501"/>
    </row>
    <row r="155" spans="2:11" ht="45.75" customHeight="1">
      <c r="B155" s="575"/>
      <c r="C155" s="510"/>
      <c r="D155" s="125" t="s">
        <v>420</v>
      </c>
      <c r="E155" s="30" t="s">
        <v>421</v>
      </c>
      <c r="F155" s="30"/>
      <c r="G155" s="30" t="s">
        <v>422</v>
      </c>
      <c r="H155" s="30" t="s">
        <v>779</v>
      </c>
      <c r="I155" s="30"/>
      <c r="J155" s="73" t="s">
        <v>423</v>
      </c>
      <c r="K155" s="501" t="s">
        <v>424</v>
      </c>
    </row>
    <row r="156" spans="2:11">
      <c r="B156" s="575"/>
      <c r="C156" s="510"/>
      <c r="D156" s="125" t="s">
        <v>425</v>
      </c>
      <c r="E156" s="30" t="s">
        <v>426</v>
      </c>
      <c r="F156" s="30"/>
      <c r="G156" s="30" t="s">
        <v>427</v>
      </c>
      <c r="H156" s="30"/>
      <c r="I156" s="30"/>
      <c r="J156" s="73" t="s">
        <v>428</v>
      </c>
      <c r="K156" s="445"/>
    </row>
    <row r="157" spans="2:11">
      <c r="B157" s="575"/>
      <c r="C157" s="444" t="s">
        <v>429</v>
      </c>
      <c r="D157" s="125" t="s">
        <v>430</v>
      </c>
      <c r="E157" s="444" t="s">
        <v>431</v>
      </c>
      <c r="F157" s="30"/>
      <c r="G157" s="444" t="s">
        <v>432</v>
      </c>
      <c r="H157" s="30"/>
      <c r="I157" s="30"/>
      <c r="J157" s="501" t="s">
        <v>433</v>
      </c>
      <c r="K157" s="501" t="s">
        <v>434</v>
      </c>
    </row>
    <row r="158" spans="2:11" ht="29">
      <c r="B158" s="575"/>
      <c r="C158" s="444"/>
      <c r="D158" s="125" t="s">
        <v>435</v>
      </c>
      <c r="E158" s="529"/>
      <c r="F158" s="73"/>
      <c r="G158" s="529"/>
      <c r="H158" s="73" t="s">
        <v>780</v>
      </c>
      <c r="I158" s="73"/>
      <c r="J158" s="529"/>
      <c r="K158" s="501"/>
    </row>
    <row r="159" spans="2:11" ht="29">
      <c r="B159" s="575"/>
      <c r="C159" s="444"/>
      <c r="D159" s="125" t="s">
        <v>436</v>
      </c>
      <c r="E159" s="444" t="s">
        <v>437</v>
      </c>
      <c r="F159" s="30"/>
      <c r="G159" s="30" t="s">
        <v>438</v>
      </c>
      <c r="H159" s="30" t="s">
        <v>781</v>
      </c>
      <c r="I159" s="30"/>
      <c r="J159" s="501" t="s">
        <v>439</v>
      </c>
      <c r="K159" s="501"/>
    </row>
    <row r="160" spans="2:11">
      <c r="B160" s="575"/>
      <c r="C160" s="510"/>
      <c r="D160" s="125" t="s">
        <v>55</v>
      </c>
      <c r="E160" s="529"/>
      <c r="F160" s="73"/>
      <c r="G160" s="30" t="s">
        <v>440</v>
      </c>
      <c r="H160" s="30"/>
      <c r="I160" s="30"/>
      <c r="J160" s="529"/>
      <c r="K160" s="501"/>
    </row>
    <row r="161" spans="2:11">
      <c r="B161" s="575"/>
      <c r="C161" s="510"/>
      <c r="D161" s="125" t="s">
        <v>439</v>
      </c>
      <c r="E161" s="45"/>
      <c r="F161" s="45"/>
      <c r="G161" s="45"/>
      <c r="H161" s="45"/>
      <c r="I161" s="45"/>
      <c r="J161" s="529"/>
      <c r="K161" s="501"/>
    </row>
    <row r="162" spans="2:11" ht="29">
      <c r="B162" s="575"/>
      <c r="C162" s="446" t="s">
        <v>441</v>
      </c>
      <c r="D162" s="125" t="s">
        <v>436</v>
      </c>
      <c r="E162" s="444" t="s">
        <v>442</v>
      </c>
      <c r="F162" s="30"/>
      <c r="G162" s="30" t="s">
        <v>443</v>
      </c>
      <c r="H162" s="30"/>
      <c r="I162" s="30"/>
      <c r="J162" s="501" t="s">
        <v>444</v>
      </c>
      <c r="K162" s="501"/>
    </row>
    <row r="163" spans="2:11">
      <c r="B163" s="575"/>
      <c r="C163" s="446"/>
      <c r="D163" s="125" t="s">
        <v>55</v>
      </c>
      <c r="E163" s="529"/>
      <c r="F163" s="73"/>
      <c r="G163" s="30" t="s">
        <v>445</v>
      </c>
      <c r="H163" s="30"/>
      <c r="I163" s="30"/>
      <c r="J163" s="529"/>
      <c r="K163" s="501"/>
    </row>
    <row r="164" spans="2:11" ht="43.5">
      <c r="B164" s="575"/>
      <c r="C164" s="446"/>
      <c r="D164" s="125" t="s">
        <v>446</v>
      </c>
      <c r="E164" s="127" t="s">
        <v>447</v>
      </c>
      <c r="F164" s="127"/>
      <c r="G164" s="30" t="s">
        <v>448</v>
      </c>
      <c r="H164" s="30"/>
      <c r="I164" s="30"/>
      <c r="J164" s="529"/>
      <c r="K164" s="501"/>
    </row>
    <row r="165" spans="2:11">
      <c r="C165" s="163" t="s">
        <v>449</v>
      </c>
      <c r="D165" s="164" t="s">
        <v>3</v>
      </c>
      <c r="E165" s="148"/>
      <c r="F165" s="148"/>
      <c r="G165" s="148"/>
      <c r="H165" s="148"/>
      <c r="I165" s="148"/>
      <c r="J165" s="148"/>
      <c r="K165" s="149"/>
    </row>
    <row r="166" spans="2:11">
      <c r="C166" s="587" t="s">
        <v>450</v>
      </c>
      <c r="D166" s="447"/>
      <c r="E166" s="447"/>
      <c r="F166" s="447"/>
      <c r="G166" s="447"/>
      <c r="H166" s="447"/>
      <c r="I166" s="447"/>
      <c r="J166" s="447"/>
      <c r="K166" s="447"/>
    </row>
    <row r="167" spans="2:11" ht="89.25" customHeight="1">
      <c r="B167" s="575" t="s">
        <v>725</v>
      </c>
      <c r="C167" s="444" t="s">
        <v>451</v>
      </c>
      <c r="D167" s="72" t="s">
        <v>452</v>
      </c>
      <c r="E167" s="444" t="s">
        <v>453</v>
      </c>
      <c r="F167" s="30"/>
      <c r="G167" s="30" t="s">
        <v>454</v>
      </c>
      <c r="H167" s="30" t="s">
        <v>782</v>
      </c>
      <c r="I167" s="30" t="s">
        <v>783</v>
      </c>
      <c r="J167" s="30" t="s">
        <v>455</v>
      </c>
      <c r="K167" s="501" t="s">
        <v>456</v>
      </c>
    </row>
    <row r="168" spans="2:11" ht="66.75" customHeight="1">
      <c r="B168" s="575"/>
      <c r="C168" s="447"/>
      <c r="D168" s="72" t="s">
        <v>457</v>
      </c>
      <c r="E168" s="501"/>
      <c r="F168" s="10"/>
      <c r="G168" s="30" t="s">
        <v>458</v>
      </c>
      <c r="H168" s="30"/>
      <c r="I168" s="30"/>
      <c r="J168" s="30" t="s">
        <v>459</v>
      </c>
      <c r="K168" s="445"/>
    </row>
    <row r="169" spans="2:11" ht="87" customHeight="1">
      <c r="B169" s="575"/>
      <c r="C169" s="447"/>
      <c r="D169" s="72" t="s">
        <v>460</v>
      </c>
      <c r="E169" s="30" t="s">
        <v>461</v>
      </c>
      <c r="F169" s="30"/>
      <c r="G169" s="30" t="s">
        <v>462</v>
      </c>
      <c r="H169" s="30" t="s">
        <v>784</v>
      </c>
      <c r="I169" s="30"/>
      <c r="J169" s="30" t="s">
        <v>463</v>
      </c>
      <c r="K169" s="445"/>
    </row>
    <row r="170" spans="2:11" ht="43.5">
      <c r="B170" s="575"/>
      <c r="C170" s="447"/>
      <c r="D170" s="72" t="s">
        <v>464</v>
      </c>
      <c r="E170" s="444" t="s">
        <v>465</v>
      </c>
      <c r="F170" s="30"/>
      <c r="G170" s="30" t="s">
        <v>466</v>
      </c>
      <c r="H170" s="30" t="s">
        <v>785</v>
      </c>
      <c r="I170" s="30"/>
      <c r="J170" s="30" t="s">
        <v>467</v>
      </c>
      <c r="K170" s="445"/>
    </row>
    <row r="171" spans="2:11">
      <c r="B171" s="575"/>
      <c r="C171" s="447"/>
      <c r="D171" s="72" t="s">
        <v>457</v>
      </c>
      <c r="E171" s="501"/>
      <c r="F171" s="10"/>
      <c r="G171" s="30" t="s">
        <v>458</v>
      </c>
      <c r="H171" s="30"/>
      <c r="I171" s="30"/>
      <c r="J171" s="30" t="s">
        <v>459</v>
      </c>
      <c r="K171" s="445"/>
    </row>
    <row r="172" spans="2:11">
      <c r="B172" s="575"/>
      <c r="C172" s="447"/>
      <c r="D172" s="72" t="s">
        <v>468</v>
      </c>
      <c r="E172" s="30" t="s">
        <v>469</v>
      </c>
      <c r="F172" s="30"/>
      <c r="G172" s="30" t="s">
        <v>470</v>
      </c>
      <c r="H172" s="30"/>
      <c r="I172" s="30"/>
      <c r="J172" s="30" t="s">
        <v>471</v>
      </c>
      <c r="K172" s="445"/>
    </row>
    <row r="173" spans="2:11" ht="29">
      <c r="B173" s="575"/>
      <c r="C173" s="447"/>
      <c r="D173" s="72" t="s">
        <v>472</v>
      </c>
      <c r="E173" s="30" t="s">
        <v>473</v>
      </c>
      <c r="F173" s="30"/>
      <c r="G173" s="30" t="s">
        <v>474</v>
      </c>
      <c r="H173" s="30" t="s">
        <v>786</v>
      </c>
      <c r="I173" s="30"/>
      <c r="J173" s="30" t="s">
        <v>475</v>
      </c>
      <c r="K173" s="445"/>
    </row>
    <row r="174" spans="2:11">
      <c r="B174" s="575"/>
      <c r="C174" s="447"/>
      <c r="D174" s="72" t="s">
        <v>476</v>
      </c>
      <c r="E174" s="444" t="s">
        <v>477</v>
      </c>
      <c r="F174" s="30"/>
      <c r="G174" s="30" t="s">
        <v>478</v>
      </c>
      <c r="H174" s="30"/>
      <c r="I174" s="30"/>
      <c r="J174" s="30" t="s">
        <v>479</v>
      </c>
      <c r="K174" s="445"/>
    </row>
    <row r="175" spans="2:11">
      <c r="B175" s="575"/>
      <c r="C175" s="447"/>
      <c r="D175" s="72" t="s">
        <v>480</v>
      </c>
      <c r="E175" s="501"/>
      <c r="F175" s="10"/>
      <c r="G175" s="30" t="s">
        <v>481</v>
      </c>
      <c r="H175" s="30"/>
      <c r="I175" s="30"/>
      <c r="J175" s="30" t="s">
        <v>482</v>
      </c>
      <c r="K175" s="445"/>
    </row>
    <row r="176" spans="2:11" ht="29">
      <c r="B176" s="575"/>
      <c r="C176" s="447"/>
      <c r="D176" s="72" t="s">
        <v>483</v>
      </c>
      <c r="E176" s="444" t="s">
        <v>484</v>
      </c>
      <c r="F176" s="30"/>
      <c r="G176" s="45" t="s">
        <v>485</v>
      </c>
      <c r="H176" s="45" t="s">
        <v>787</v>
      </c>
      <c r="I176" s="45"/>
      <c r="J176" s="30" t="s">
        <v>486</v>
      </c>
      <c r="K176" s="445"/>
    </row>
    <row r="177" spans="2:11">
      <c r="B177" s="575"/>
      <c r="C177" s="447"/>
      <c r="D177" s="127" t="s">
        <v>487</v>
      </c>
      <c r="E177" s="529"/>
      <c r="F177" s="73"/>
      <c r="G177" s="30" t="s">
        <v>488</v>
      </c>
      <c r="H177" s="30"/>
      <c r="I177" s="30"/>
      <c r="J177" s="45" t="s">
        <v>489</v>
      </c>
      <c r="K177" s="445"/>
    </row>
    <row r="178" spans="2:11" s="5" customFormat="1" ht="43.5">
      <c r="B178" s="575"/>
      <c r="C178" s="447"/>
      <c r="D178" s="116" t="s">
        <v>490</v>
      </c>
      <c r="E178" s="45" t="s">
        <v>491</v>
      </c>
      <c r="F178" s="45"/>
      <c r="G178" s="45" t="s">
        <v>492</v>
      </c>
      <c r="H178" s="45"/>
      <c r="I178" s="45"/>
      <c r="J178" s="30" t="s">
        <v>493</v>
      </c>
      <c r="K178" s="445"/>
    </row>
    <row r="179" spans="2:11">
      <c r="C179" s="586" t="s">
        <v>494</v>
      </c>
      <c r="D179" s="447"/>
      <c r="E179" s="447"/>
      <c r="F179" s="447"/>
      <c r="G179" s="447"/>
      <c r="H179" s="447"/>
      <c r="I179" s="447"/>
      <c r="J179" s="447"/>
      <c r="K179" s="447"/>
    </row>
    <row r="180" spans="2:11">
      <c r="C180" s="583" t="s">
        <v>495</v>
      </c>
      <c r="D180" s="583"/>
      <c r="E180" s="583"/>
      <c r="F180" s="583"/>
      <c r="G180" s="583"/>
      <c r="H180" s="583"/>
      <c r="I180" s="583"/>
      <c r="J180" s="583"/>
      <c r="K180" s="583"/>
    </row>
    <row r="181" spans="2:11" ht="29">
      <c r="B181" s="575" t="s">
        <v>726</v>
      </c>
      <c r="C181" s="444" t="s">
        <v>496</v>
      </c>
      <c r="D181" s="30" t="s">
        <v>497</v>
      </c>
      <c r="E181" s="30" t="s">
        <v>498</v>
      </c>
      <c r="F181" s="30"/>
      <c r="G181" s="444" t="s">
        <v>499</v>
      </c>
      <c r="H181" s="30"/>
      <c r="I181" s="30"/>
      <c r="J181" s="444" t="s">
        <v>500</v>
      </c>
      <c r="K181" s="444" t="s">
        <v>501</v>
      </c>
    </row>
    <row r="182" spans="2:11" ht="129" customHeight="1">
      <c r="B182" s="575"/>
      <c r="C182" s="445"/>
      <c r="D182" s="72" t="s">
        <v>502</v>
      </c>
      <c r="E182" s="30" t="s">
        <v>503</v>
      </c>
      <c r="F182" s="30"/>
      <c r="G182" s="501"/>
      <c r="H182" s="10" t="s">
        <v>788</v>
      </c>
      <c r="I182" s="10"/>
      <c r="J182" s="501"/>
      <c r="K182" s="445"/>
    </row>
    <row r="183" spans="2:11" ht="29">
      <c r="B183" s="575"/>
      <c r="C183" s="445"/>
      <c r="D183" s="72" t="s">
        <v>504</v>
      </c>
      <c r="E183" s="30" t="s">
        <v>505</v>
      </c>
      <c r="F183" s="30"/>
      <c r="G183" s="30" t="s">
        <v>506</v>
      </c>
      <c r="H183" s="30" t="s">
        <v>789</v>
      </c>
      <c r="I183" s="30"/>
      <c r="J183" s="30" t="s">
        <v>507</v>
      </c>
      <c r="K183" s="445"/>
    </row>
    <row r="184" spans="2:11" ht="59.25" customHeight="1">
      <c r="B184" s="575"/>
      <c r="C184" s="444" t="s">
        <v>508</v>
      </c>
      <c r="D184" s="72" t="s">
        <v>509</v>
      </c>
      <c r="E184" s="30" t="s">
        <v>510</v>
      </c>
      <c r="F184" s="30"/>
      <c r="G184" s="30" t="s">
        <v>511</v>
      </c>
      <c r="H184" s="30" t="s">
        <v>790</v>
      </c>
      <c r="I184" s="30"/>
      <c r="J184" s="30" t="s">
        <v>512</v>
      </c>
      <c r="K184" s="445"/>
    </row>
    <row r="185" spans="2:11" ht="54" customHeight="1">
      <c r="B185" s="575"/>
      <c r="C185" s="445"/>
      <c r="D185" s="72" t="s">
        <v>513</v>
      </c>
      <c r="E185" s="444" t="s">
        <v>514</v>
      </c>
      <c r="F185" s="30"/>
      <c r="G185" s="30" t="s">
        <v>515</v>
      </c>
      <c r="H185" s="30" t="s">
        <v>791</v>
      </c>
      <c r="I185" s="30"/>
      <c r="J185" s="444" t="s">
        <v>516</v>
      </c>
      <c r="K185" s="445"/>
    </row>
    <row r="186" spans="2:11">
      <c r="B186" s="575"/>
      <c r="C186" s="445"/>
      <c r="D186" s="72" t="s">
        <v>82</v>
      </c>
      <c r="E186" s="501"/>
      <c r="F186" s="10"/>
      <c r="G186" s="30" t="s">
        <v>517</v>
      </c>
      <c r="H186" s="30"/>
      <c r="I186" s="30"/>
      <c r="J186" s="501"/>
      <c r="K186" s="445"/>
    </row>
    <row r="187" spans="2:11">
      <c r="C187" s="524" t="s">
        <v>518</v>
      </c>
      <c r="D187" s="525"/>
      <c r="E187" s="525"/>
      <c r="F187" s="525"/>
      <c r="G187" s="525"/>
      <c r="H187" s="525"/>
      <c r="I187" s="525"/>
      <c r="J187" s="525"/>
      <c r="K187" s="447"/>
    </row>
    <row r="188" spans="2:11">
      <c r="C188" s="581" t="s">
        <v>519</v>
      </c>
      <c r="D188" s="445"/>
      <c r="E188" s="137"/>
      <c r="F188" s="137"/>
      <c r="G188" s="138"/>
      <c r="H188" s="138"/>
      <c r="I188" s="138"/>
      <c r="J188" s="528"/>
      <c r="K188" s="529"/>
    </row>
    <row r="189" spans="2:11">
      <c r="C189" s="582" t="s">
        <v>520</v>
      </c>
      <c r="D189" s="445"/>
      <c r="E189" s="139"/>
      <c r="F189" s="139"/>
      <c r="G189" s="531" t="s">
        <v>3</v>
      </c>
      <c r="H189" s="531"/>
      <c r="I189" s="531"/>
      <c r="J189" s="447"/>
      <c r="K189" s="447"/>
    </row>
    <row r="190" spans="2:11" ht="29">
      <c r="B190" s="575" t="s">
        <v>727</v>
      </c>
      <c r="C190" s="446" t="s">
        <v>521</v>
      </c>
      <c r="D190" s="72" t="s">
        <v>522</v>
      </c>
      <c r="E190" s="30" t="s">
        <v>523</v>
      </c>
      <c r="F190" s="30"/>
      <c r="G190" s="30" t="s">
        <v>524</v>
      </c>
      <c r="I190" s="30"/>
      <c r="J190" s="129" t="s">
        <v>525</v>
      </c>
      <c r="K190" s="501" t="s">
        <v>526</v>
      </c>
    </row>
    <row r="191" spans="2:11" ht="43.5">
      <c r="B191" s="575"/>
      <c r="C191" s="445"/>
      <c r="D191" s="72" t="s">
        <v>527</v>
      </c>
      <c r="E191" s="127" t="s">
        <v>528</v>
      </c>
      <c r="F191" s="127"/>
      <c r="G191" s="30" t="s">
        <v>529</v>
      </c>
      <c r="H191" s="30" t="s">
        <v>792</v>
      </c>
      <c r="I191" s="30"/>
      <c r="J191" s="129" t="s">
        <v>530</v>
      </c>
      <c r="K191" s="501"/>
    </row>
    <row r="192" spans="2:11" ht="29">
      <c r="B192" s="575"/>
      <c r="C192" s="445"/>
      <c r="D192" s="72" t="s">
        <v>531</v>
      </c>
      <c r="E192" s="30" t="s">
        <v>532</v>
      </c>
      <c r="F192" s="30"/>
      <c r="G192" s="117" t="s">
        <v>533</v>
      </c>
      <c r="H192" s="117"/>
      <c r="I192" s="117"/>
      <c r="J192" s="10" t="s">
        <v>534</v>
      </c>
      <c r="K192" s="501"/>
    </row>
    <row r="193" spans="1:11" ht="43.5">
      <c r="A193" s="113"/>
      <c r="B193" s="575"/>
      <c r="C193" s="445"/>
      <c r="D193" s="72" t="s">
        <v>535</v>
      </c>
      <c r="E193" s="127" t="s">
        <v>536</v>
      </c>
      <c r="F193" s="127"/>
      <c r="G193" s="117" t="s">
        <v>537</v>
      </c>
      <c r="H193" s="117"/>
      <c r="I193" s="117"/>
      <c r="J193" s="10" t="s">
        <v>538</v>
      </c>
      <c r="K193" s="501"/>
    </row>
    <row r="194" spans="1:11" ht="87">
      <c r="A194" s="113"/>
      <c r="B194" s="575"/>
      <c r="C194" s="445"/>
      <c r="D194" s="72" t="s">
        <v>55</v>
      </c>
      <c r="E194" s="30"/>
      <c r="F194" s="30"/>
      <c r="G194" s="30" t="s">
        <v>539</v>
      </c>
      <c r="H194" s="30" t="s">
        <v>793</v>
      </c>
      <c r="I194" s="30"/>
      <c r="J194" s="129" t="s">
        <v>540</v>
      </c>
      <c r="K194" s="501"/>
    </row>
    <row r="195" spans="1:11">
      <c r="A195" s="113"/>
      <c r="B195" s="575"/>
      <c r="C195" s="445"/>
      <c r="D195" s="72" t="s">
        <v>541</v>
      </c>
      <c r="E195" s="30"/>
      <c r="F195" s="30"/>
      <c r="G195" s="30" t="s">
        <v>542</v>
      </c>
      <c r="H195" s="30"/>
      <c r="I195" s="30"/>
      <c r="J195" s="129" t="s">
        <v>543</v>
      </c>
      <c r="K195" s="501"/>
    </row>
    <row r="196" spans="1:11" ht="29">
      <c r="A196" s="113"/>
      <c r="B196" s="575"/>
      <c r="C196" s="445"/>
      <c r="D196" s="72" t="s">
        <v>544</v>
      </c>
      <c r="E196" s="30" t="s">
        <v>545</v>
      </c>
      <c r="F196" s="30"/>
      <c r="G196" s="30" t="s">
        <v>546</v>
      </c>
      <c r="H196" s="30"/>
      <c r="I196" s="30"/>
      <c r="J196" s="129" t="s">
        <v>547</v>
      </c>
      <c r="K196" s="501"/>
    </row>
    <row r="197" spans="1:11" ht="29">
      <c r="A197" s="113"/>
      <c r="B197" s="575"/>
      <c r="C197" s="445"/>
      <c r="D197" s="72" t="s">
        <v>548</v>
      </c>
      <c r="E197" s="30" t="s">
        <v>3</v>
      </c>
      <c r="F197" s="30"/>
      <c r="G197" s="30" t="s">
        <v>549</v>
      </c>
      <c r="H197" s="30"/>
      <c r="I197" s="30"/>
      <c r="J197" s="129" t="s">
        <v>550</v>
      </c>
      <c r="K197" s="501"/>
    </row>
    <row r="198" spans="1:11">
      <c r="A198" s="113"/>
      <c r="B198" s="575"/>
      <c r="C198" s="445"/>
      <c r="D198" s="72" t="s">
        <v>551</v>
      </c>
      <c r="E198" s="30"/>
      <c r="F198" s="30"/>
      <c r="G198" s="30" t="s">
        <v>552</v>
      </c>
      <c r="H198" s="30"/>
      <c r="I198" s="30"/>
      <c r="J198" s="129" t="s">
        <v>553</v>
      </c>
      <c r="K198" s="501"/>
    </row>
    <row r="199" spans="1:11">
      <c r="A199" s="113"/>
      <c r="B199" s="575"/>
      <c r="C199" s="445"/>
      <c r="D199" s="72" t="s">
        <v>554</v>
      </c>
      <c r="E199" s="30"/>
      <c r="F199" s="30"/>
      <c r="G199" s="30" t="s">
        <v>555</v>
      </c>
      <c r="H199" s="30"/>
      <c r="I199" s="30"/>
      <c r="J199" s="129" t="s">
        <v>556</v>
      </c>
      <c r="K199" s="501"/>
    </row>
    <row r="200" spans="1:11">
      <c r="A200" s="113"/>
      <c r="B200" s="575"/>
      <c r="C200" s="445"/>
      <c r="D200" s="72" t="s">
        <v>557</v>
      </c>
      <c r="E200" s="30"/>
      <c r="F200" s="30"/>
      <c r="G200" s="30" t="s">
        <v>558</v>
      </c>
      <c r="H200" s="30"/>
      <c r="I200" s="30"/>
      <c r="J200" s="129" t="s">
        <v>559</v>
      </c>
      <c r="K200" s="501"/>
    </row>
    <row r="201" spans="1:11">
      <c r="A201" s="113"/>
      <c r="B201" s="575"/>
      <c r="C201" s="446" t="s">
        <v>560</v>
      </c>
      <c r="D201" s="72" t="s">
        <v>561</v>
      </c>
      <c r="E201" s="30" t="s">
        <v>562</v>
      </c>
      <c r="F201" s="30"/>
      <c r="G201" s="30" t="s">
        <v>563</v>
      </c>
      <c r="H201" s="30"/>
      <c r="I201" s="30"/>
      <c r="J201" s="129" t="s">
        <v>564</v>
      </c>
      <c r="K201" s="501" t="s">
        <v>565</v>
      </c>
    </row>
    <row r="202" spans="1:11">
      <c r="A202" s="113"/>
      <c r="B202" s="575"/>
      <c r="C202" s="445"/>
      <c r="D202" s="72" t="s">
        <v>566</v>
      </c>
      <c r="E202" s="30" t="s">
        <v>567</v>
      </c>
      <c r="F202" s="30"/>
      <c r="G202" s="30" t="s">
        <v>568</v>
      </c>
      <c r="H202" s="30"/>
      <c r="I202" s="30"/>
      <c r="J202" s="129" t="s">
        <v>569</v>
      </c>
      <c r="K202" s="501"/>
    </row>
    <row r="203" spans="1:11">
      <c r="A203" s="113"/>
      <c r="B203" s="575"/>
      <c r="C203" s="445"/>
      <c r="D203" s="72" t="s">
        <v>570</v>
      </c>
      <c r="E203" s="30" t="s">
        <v>571</v>
      </c>
      <c r="F203" s="30"/>
      <c r="G203" s="30" t="s">
        <v>572</v>
      </c>
      <c r="H203" s="30"/>
      <c r="I203" s="30"/>
      <c r="J203" s="129" t="s">
        <v>573</v>
      </c>
      <c r="K203" s="501"/>
    </row>
    <row r="204" spans="1:11" ht="43.5">
      <c r="A204" s="113"/>
      <c r="B204" s="575"/>
      <c r="C204" s="445"/>
      <c r="D204" s="30" t="s">
        <v>574</v>
      </c>
      <c r="E204" s="30"/>
      <c r="F204" s="30"/>
      <c r="G204" s="30" t="s">
        <v>575</v>
      </c>
      <c r="H204" s="30"/>
      <c r="I204" s="30"/>
      <c r="J204" s="129" t="s">
        <v>576</v>
      </c>
      <c r="K204" s="501"/>
    </row>
    <row r="205" spans="1:11" ht="43.5">
      <c r="A205" s="113"/>
      <c r="B205" s="575"/>
      <c r="C205" s="445"/>
      <c r="D205" s="72" t="s">
        <v>577</v>
      </c>
      <c r="E205" s="30" t="s">
        <v>578</v>
      </c>
      <c r="F205" s="30"/>
      <c r="G205" s="30" t="s">
        <v>579</v>
      </c>
      <c r="H205" s="30"/>
      <c r="I205" s="30"/>
      <c r="J205" s="129" t="s">
        <v>580</v>
      </c>
      <c r="K205" s="501"/>
    </row>
    <row r="206" spans="1:11">
      <c r="A206" s="113"/>
      <c r="B206" s="575"/>
      <c r="C206" s="445"/>
      <c r="D206" s="72" t="s">
        <v>566</v>
      </c>
      <c r="E206" s="30" t="s">
        <v>581</v>
      </c>
      <c r="F206" s="30"/>
      <c r="G206" s="30" t="s">
        <v>582</v>
      </c>
      <c r="H206" s="30"/>
      <c r="I206" s="30"/>
      <c r="J206" s="129" t="s">
        <v>583</v>
      </c>
      <c r="K206" s="501"/>
    </row>
    <row r="207" spans="1:11">
      <c r="A207" s="113"/>
      <c r="B207" s="575"/>
      <c r="C207" s="445"/>
      <c r="D207" s="72" t="s">
        <v>570</v>
      </c>
      <c r="E207" s="30" t="s">
        <v>584</v>
      </c>
      <c r="F207" s="30"/>
      <c r="G207" s="30" t="s">
        <v>585</v>
      </c>
      <c r="H207" s="30"/>
      <c r="I207" s="30"/>
      <c r="J207" s="129" t="s">
        <v>586</v>
      </c>
      <c r="K207" s="501"/>
    </row>
    <row r="208" spans="1:11" ht="159" customHeight="1">
      <c r="A208" s="113"/>
      <c r="B208" s="575"/>
      <c r="C208" s="445"/>
      <c r="D208" s="72" t="s">
        <v>587</v>
      </c>
      <c r="E208" s="30" t="s">
        <v>588</v>
      </c>
      <c r="F208" s="30"/>
      <c r="G208" s="30" t="s">
        <v>589</v>
      </c>
      <c r="H208" s="30" t="s">
        <v>794</v>
      </c>
      <c r="I208" s="30"/>
      <c r="J208" s="129" t="s">
        <v>590</v>
      </c>
      <c r="K208" s="501"/>
    </row>
    <row r="209" spans="1:12" ht="29">
      <c r="A209" s="113"/>
      <c r="B209" s="575"/>
      <c r="C209" s="72" t="s">
        <v>591</v>
      </c>
      <c r="D209" s="72" t="s">
        <v>592</v>
      </c>
      <c r="E209" s="30" t="s">
        <v>593</v>
      </c>
      <c r="F209" s="30"/>
      <c r="G209" s="30" t="s">
        <v>594</v>
      </c>
      <c r="H209" s="30"/>
      <c r="I209" s="30"/>
      <c r="J209" s="129" t="s">
        <v>595</v>
      </c>
      <c r="K209" s="529"/>
    </row>
    <row r="210" spans="1:12" ht="29">
      <c r="A210" s="101"/>
      <c r="B210" s="575"/>
      <c r="C210" s="444" t="s">
        <v>596</v>
      </c>
      <c r="D210" s="72" t="s">
        <v>597</v>
      </c>
      <c r="E210" s="30" t="s">
        <v>598</v>
      </c>
      <c r="F210" s="30"/>
      <c r="G210" s="444" t="s">
        <v>599</v>
      </c>
      <c r="H210" s="30"/>
      <c r="I210" s="30"/>
      <c r="J210" s="334" t="s">
        <v>600</v>
      </c>
      <c r="K210" s="529"/>
    </row>
    <row r="211" spans="1:12">
      <c r="A211" s="101"/>
      <c r="B211" s="575"/>
      <c r="C211" s="445"/>
      <c r="D211" s="72" t="s">
        <v>601</v>
      </c>
      <c r="E211" s="30" t="s">
        <v>600</v>
      </c>
      <c r="F211" s="30"/>
      <c r="G211" s="501"/>
      <c r="H211" s="10"/>
      <c r="I211" s="10"/>
      <c r="J211" s="334"/>
      <c r="K211" s="529"/>
    </row>
    <row r="212" spans="1:12" ht="43.5">
      <c r="A212" s="101"/>
      <c r="B212" s="575"/>
      <c r="C212" s="445"/>
      <c r="D212" s="72" t="s">
        <v>602</v>
      </c>
      <c r="E212" s="30" t="s">
        <v>603</v>
      </c>
      <c r="F212" s="30"/>
      <c r="G212" s="444" t="s">
        <v>604</v>
      </c>
      <c r="H212" s="30"/>
      <c r="I212" s="30"/>
      <c r="J212" s="334" t="s">
        <v>605</v>
      </c>
      <c r="K212" s="529"/>
    </row>
    <row r="213" spans="1:12">
      <c r="A213" s="101"/>
      <c r="B213" s="575"/>
      <c r="C213" s="445"/>
      <c r="D213" s="72" t="s">
        <v>601</v>
      </c>
      <c r="E213" s="30" t="s">
        <v>600</v>
      </c>
      <c r="F213" s="30"/>
      <c r="G213" s="501"/>
      <c r="H213" s="10"/>
      <c r="I213" s="10"/>
      <c r="J213" s="334"/>
      <c r="K213" s="529"/>
    </row>
    <row r="214" spans="1:12">
      <c r="A214" s="102"/>
      <c r="B214" s="575"/>
      <c r="C214" s="446" t="s">
        <v>606</v>
      </c>
      <c r="D214" s="72" t="s">
        <v>607</v>
      </c>
      <c r="E214" s="30" t="s">
        <v>608</v>
      </c>
      <c r="F214" s="30"/>
      <c r="G214" s="444" t="s">
        <v>609</v>
      </c>
      <c r="H214" s="30"/>
      <c r="I214" s="30"/>
      <c r="J214" s="580" t="s">
        <v>610</v>
      </c>
      <c r="K214" s="529"/>
    </row>
    <row r="215" spans="1:12">
      <c r="A215" s="102"/>
      <c r="B215" s="575"/>
      <c r="C215" s="445"/>
      <c r="D215" s="72" t="s">
        <v>611</v>
      </c>
      <c r="E215" s="30" t="s">
        <v>612</v>
      </c>
      <c r="F215" s="30"/>
      <c r="G215" s="501"/>
      <c r="H215" s="10"/>
      <c r="I215" s="10"/>
      <c r="J215" s="580"/>
      <c r="K215" s="529"/>
    </row>
    <row r="216" spans="1:12">
      <c r="A216" s="102"/>
      <c r="B216" s="575"/>
      <c r="C216" s="445"/>
      <c r="D216" s="72" t="s">
        <v>613</v>
      </c>
      <c r="E216" s="30" t="s">
        <v>614</v>
      </c>
      <c r="F216" s="30"/>
      <c r="G216" s="501"/>
      <c r="H216" s="10"/>
      <c r="I216" s="10"/>
      <c r="J216" s="580"/>
      <c r="K216" s="529"/>
    </row>
    <row r="217" spans="1:12" ht="43.5">
      <c r="A217" s="102"/>
      <c r="B217" s="575"/>
      <c r="C217" s="445"/>
      <c r="D217" s="130" t="s">
        <v>446</v>
      </c>
      <c r="E217" s="30" t="s">
        <v>615</v>
      </c>
      <c r="F217" s="30"/>
      <c r="G217" s="30" t="s">
        <v>616</v>
      </c>
      <c r="H217" s="30"/>
      <c r="I217" s="30"/>
      <c r="J217" s="129" t="s">
        <v>617</v>
      </c>
      <c r="K217" s="529"/>
    </row>
    <row r="218" spans="1:12" ht="159.5">
      <c r="A218" s="102"/>
      <c r="B218" s="575"/>
      <c r="C218" s="72" t="s">
        <v>618</v>
      </c>
      <c r="D218" s="72" t="s">
        <v>55</v>
      </c>
      <c r="E218" s="30" t="s">
        <v>619</v>
      </c>
      <c r="F218" s="30"/>
      <c r="G218" s="30" t="s">
        <v>620</v>
      </c>
      <c r="H218" s="30" t="s">
        <v>795</v>
      </c>
      <c r="I218" s="30"/>
      <c r="J218" s="129" t="s">
        <v>621</v>
      </c>
      <c r="K218" s="529"/>
    </row>
    <row r="219" spans="1:12">
      <c r="C219" s="163" t="s">
        <v>622</v>
      </c>
      <c r="D219" s="151"/>
      <c r="E219" s="161"/>
      <c r="F219" s="161"/>
      <c r="G219" s="161"/>
      <c r="H219" s="161"/>
      <c r="I219" s="161"/>
      <c r="J219" s="584"/>
      <c r="K219" s="447"/>
      <c r="L219" t="s">
        <v>3</v>
      </c>
    </row>
    <row r="220" spans="1:12">
      <c r="C220" s="582" t="s">
        <v>623</v>
      </c>
      <c r="D220" s="583"/>
      <c r="E220" s="583"/>
      <c r="F220" s="583"/>
      <c r="G220" s="583"/>
      <c r="H220" s="583"/>
      <c r="I220" s="583"/>
      <c r="J220" s="583"/>
      <c r="K220" s="447"/>
    </row>
    <row r="221" spans="1:12" ht="77.25" customHeight="1">
      <c r="B221" s="575" t="s">
        <v>728</v>
      </c>
      <c r="C221" s="501" t="s">
        <v>624</v>
      </c>
      <c r="D221" s="121" t="s">
        <v>625</v>
      </c>
      <c r="E221" s="10" t="s">
        <v>626</v>
      </c>
      <c r="F221" s="10"/>
      <c r="G221" s="334" t="s">
        <v>627</v>
      </c>
      <c r="H221" s="129" t="s">
        <v>796</v>
      </c>
      <c r="I221" s="129"/>
      <c r="J221" s="501" t="s">
        <v>627</v>
      </c>
      <c r="K221" s="501" t="s">
        <v>628</v>
      </c>
    </row>
    <row r="222" spans="1:12">
      <c r="B222" s="575"/>
      <c r="C222" s="445"/>
      <c r="D222" s="131" t="s">
        <v>629</v>
      </c>
      <c r="E222" s="10" t="s">
        <v>630</v>
      </c>
      <c r="F222" s="10"/>
      <c r="G222" s="585"/>
      <c r="H222" s="177"/>
      <c r="I222" s="177"/>
      <c r="J222" s="501"/>
      <c r="K222" s="501"/>
    </row>
    <row r="223" spans="1:12" ht="29">
      <c r="B223" s="575"/>
      <c r="C223" s="445"/>
      <c r="D223" s="132" t="s">
        <v>631</v>
      </c>
      <c r="E223" s="10" t="s">
        <v>632</v>
      </c>
      <c r="F223" s="10"/>
      <c r="G223" s="129" t="s">
        <v>633</v>
      </c>
      <c r="H223" s="129"/>
      <c r="I223" s="129"/>
      <c r="J223" s="10" t="s">
        <v>633</v>
      </c>
      <c r="K223" s="501"/>
    </row>
    <row r="224" spans="1:12" ht="83.25" customHeight="1">
      <c r="B224" s="575"/>
      <c r="C224" s="445"/>
      <c r="D224" s="119" t="s">
        <v>634</v>
      </c>
      <c r="E224" s="18" t="s">
        <v>635</v>
      </c>
      <c r="F224" s="18"/>
      <c r="G224" s="133" t="s">
        <v>635</v>
      </c>
      <c r="H224" s="133" t="s">
        <v>797</v>
      </c>
      <c r="I224" s="133"/>
      <c r="J224" s="10" t="s">
        <v>635</v>
      </c>
      <c r="K224" s="501"/>
    </row>
    <row r="225" spans="2:11">
      <c r="B225" s="575"/>
      <c r="C225" s="445"/>
      <c r="D225" s="119" t="s">
        <v>636</v>
      </c>
      <c r="E225" s="18" t="s">
        <v>637</v>
      </c>
      <c r="F225" s="18"/>
      <c r="G225" s="133" t="s">
        <v>637</v>
      </c>
      <c r="H225" s="133"/>
      <c r="I225" s="133"/>
      <c r="J225" s="10" t="s">
        <v>637</v>
      </c>
      <c r="K225" s="501"/>
    </row>
    <row r="226" spans="2:11" ht="81" customHeight="1">
      <c r="B226" s="575"/>
      <c r="C226" s="501" t="s">
        <v>638</v>
      </c>
      <c r="D226" s="123" t="s">
        <v>639</v>
      </c>
      <c r="E226" s="501" t="s">
        <v>640</v>
      </c>
      <c r="F226" s="10"/>
      <c r="G226" s="334" t="s">
        <v>640</v>
      </c>
      <c r="H226" s="129" t="s">
        <v>798</v>
      </c>
      <c r="I226" s="129"/>
      <c r="J226" s="501" t="s">
        <v>640</v>
      </c>
      <c r="K226" s="501"/>
    </row>
    <row r="227" spans="2:11">
      <c r="B227" s="575"/>
      <c r="C227" s="445"/>
      <c r="D227" s="123" t="s">
        <v>641</v>
      </c>
      <c r="E227" s="501"/>
      <c r="F227" s="10"/>
      <c r="G227" s="334"/>
      <c r="H227" s="129"/>
      <c r="I227" s="129"/>
      <c r="J227" s="501"/>
      <c r="K227" s="501"/>
    </row>
    <row r="228" spans="2:11" ht="29">
      <c r="B228" s="575"/>
      <c r="C228" s="501" t="s">
        <v>642</v>
      </c>
      <c r="D228" s="123" t="s">
        <v>643</v>
      </c>
      <c r="E228" s="18" t="s">
        <v>644</v>
      </c>
      <c r="F228" s="18"/>
      <c r="G228" s="133" t="s">
        <v>645</v>
      </c>
      <c r="H228" s="133"/>
      <c r="I228" s="133"/>
      <c r="J228" s="10" t="s">
        <v>646</v>
      </c>
      <c r="K228" s="501"/>
    </row>
    <row r="229" spans="2:11" ht="29">
      <c r="B229" s="575"/>
      <c r="C229" s="445"/>
      <c r="D229" s="123" t="s">
        <v>647</v>
      </c>
      <c r="E229" s="18" t="s">
        <v>648</v>
      </c>
      <c r="F229" s="18"/>
      <c r="G229" s="133" t="s">
        <v>649</v>
      </c>
      <c r="H229" s="133"/>
      <c r="I229" s="133"/>
      <c r="J229" s="10" t="s">
        <v>649</v>
      </c>
      <c r="K229" s="501"/>
    </row>
    <row r="230" spans="2:11">
      <c r="B230" s="575"/>
      <c r="C230" s="445"/>
      <c r="D230" s="123" t="s">
        <v>650</v>
      </c>
      <c r="E230" s="18" t="s">
        <v>651</v>
      </c>
      <c r="F230" s="18"/>
      <c r="G230" s="133" t="s">
        <v>651</v>
      </c>
      <c r="H230" s="133"/>
      <c r="I230" s="133"/>
      <c r="J230" s="10" t="s">
        <v>651</v>
      </c>
      <c r="K230" s="501"/>
    </row>
    <row r="231" spans="2:11">
      <c r="B231" s="575"/>
      <c r="C231" s="445"/>
      <c r="D231" s="123" t="s">
        <v>652</v>
      </c>
      <c r="E231" s="18" t="s">
        <v>653</v>
      </c>
      <c r="F231" s="18"/>
      <c r="G231" s="133" t="s">
        <v>653</v>
      </c>
      <c r="H231" s="133"/>
      <c r="I231" s="133"/>
      <c r="J231" s="10" t="s">
        <v>653</v>
      </c>
      <c r="K231" s="501"/>
    </row>
    <row r="232" spans="2:11" ht="60" customHeight="1">
      <c r="B232" s="575"/>
      <c r="C232" s="501" t="s">
        <v>654</v>
      </c>
      <c r="D232" s="121" t="s">
        <v>655</v>
      </c>
      <c r="E232" s="10" t="s">
        <v>656</v>
      </c>
      <c r="F232" s="10"/>
      <c r="G232" s="129" t="s">
        <v>656</v>
      </c>
      <c r="H232" s="129" t="s">
        <v>799</v>
      </c>
      <c r="I232" s="129"/>
      <c r="J232" s="10" t="s">
        <v>656</v>
      </c>
      <c r="K232" s="501"/>
    </row>
    <row r="233" spans="2:11" ht="29">
      <c r="B233" s="575"/>
      <c r="C233" s="445"/>
      <c r="D233" s="121" t="s">
        <v>657</v>
      </c>
      <c r="E233" s="10" t="s">
        <v>658</v>
      </c>
      <c r="F233" s="10"/>
      <c r="G233" s="129" t="s">
        <v>658</v>
      </c>
      <c r="H233" s="129"/>
      <c r="I233" s="129"/>
      <c r="J233" s="10" t="s">
        <v>658</v>
      </c>
      <c r="K233" s="501"/>
    </row>
    <row r="234" spans="2:11">
      <c r="B234" s="575"/>
      <c r="C234" s="445"/>
      <c r="D234" s="121" t="s">
        <v>659</v>
      </c>
      <c r="E234" s="10" t="s">
        <v>660</v>
      </c>
      <c r="F234" s="10"/>
      <c r="G234" s="129" t="s">
        <v>660</v>
      </c>
      <c r="H234" s="129"/>
      <c r="I234" s="129"/>
      <c r="J234" s="10" t="s">
        <v>660</v>
      </c>
      <c r="K234" s="501"/>
    </row>
    <row r="235" spans="2:11">
      <c r="C235" s="163" t="s">
        <v>661</v>
      </c>
      <c r="D235" s="165"/>
      <c r="E235" s="166"/>
      <c r="F235" s="166"/>
      <c r="G235" s="167"/>
      <c r="H235" s="167"/>
      <c r="I235" s="167"/>
      <c r="J235" s="579"/>
      <c r="K235" s="445"/>
    </row>
    <row r="236" spans="2:11">
      <c r="C236" s="583" t="s">
        <v>662</v>
      </c>
      <c r="D236" s="548"/>
      <c r="E236" s="548"/>
      <c r="F236" s="548"/>
      <c r="G236" s="548"/>
      <c r="H236" s="548"/>
      <c r="I236" s="548"/>
      <c r="J236" s="548"/>
      <c r="K236" s="63"/>
    </row>
    <row r="237" spans="2:11" s="5" customFormat="1" ht="57" customHeight="1">
      <c r="B237" s="575" t="s">
        <v>729</v>
      </c>
      <c r="C237" s="444" t="s">
        <v>663</v>
      </c>
      <c r="D237" s="72" t="s">
        <v>664</v>
      </c>
      <c r="E237" s="30" t="s">
        <v>665</v>
      </c>
      <c r="F237" s="30"/>
      <c r="G237" s="30" t="s">
        <v>666</v>
      </c>
      <c r="H237" s="30" t="s">
        <v>800</v>
      </c>
      <c r="I237" s="30"/>
      <c r="J237" s="10" t="s">
        <v>666</v>
      </c>
      <c r="K237" s="501" t="s">
        <v>667</v>
      </c>
    </row>
    <row r="238" spans="2:11" ht="43.5">
      <c r="B238" s="575"/>
      <c r="C238" s="507"/>
      <c r="D238" s="30" t="s">
        <v>668</v>
      </c>
      <c r="E238" s="30" t="s">
        <v>669</v>
      </c>
      <c r="F238" s="30"/>
      <c r="G238" s="30" t="s">
        <v>670</v>
      </c>
      <c r="H238" s="30" t="s">
        <v>801</v>
      </c>
      <c r="I238" s="30"/>
      <c r="J238" s="10" t="s">
        <v>671</v>
      </c>
      <c r="K238" s="445"/>
    </row>
    <row r="239" spans="2:11" ht="87" customHeight="1">
      <c r="B239" s="575"/>
      <c r="C239" s="444" t="s">
        <v>672</v>
      </c>
      <c r="D239" s="72" t="s">
        <v>673</v>
      </c>
      <c r="E239" s="30" t="s">
        <v>674</v>
      </c>
      <c r="F239" s="30"/>
      <c r="G239" s="30" t="s">
        <v>675</v>
      </c>
      <c r="H239" s="30" t="s">
        <v>802</v>
      </c>
      <c r="I239" s="30"/>
      <c r="J239" s="10" t="s">
        <v>676</v>
      </c>
      <c r="K239" s="445"/>
    </row>
    <row r="240" spans="2:11" ht="27" customHeight="1">
      <c r="B240" s="575"/>
      <c r="C240" s="444"/>
      <c r="D240" s="72" t="s">
        <v>677</v>
      </c>
      <c r="E240" s="45" t="s">
        <v>678</v>
      </c>
      <c r="F240" s="45"/>
      <c r="G240" s="30" t="s">
        <v>679</v>
      </c>
      <c r="H240" s="30" t="s">
        <v>803</v>
      </c>
      <c r="I240" s="30"/>
      <c r="J240" s="73" t="s">
        <v>680</v>
      </c>
      <c r="K240" s="445"/>
    </row>
    <row r="241" spans="2:11">
      <c r="B241" s="575"/>
      <c r="C241" s="444"/>
      <c r="D241" s="72" t="s">
        <v>681</v>
      </c>
      <c r="E241" s="45" t="s">
        <v>682</v>
      </c>
      <c r="F241" s="45"/>
      <c r="G241" s="30" t="s">
        <v>683</v>
      </c>
      <c r="H241" s="30"/>
      <c r="I241" s="30"/>
      <c r="J241" s="73" t="s">
        <v>684</v>
      </c>
      <c r="K241" s="445"/>
    </row>
    <row r="242" spans="2:11">
      <c r="B242" s="575"/>
      <c r="C242" s="444"/>
      <c r="D242" s="72" t="s">
        <v>685</v>
      </c>
      <c r="E242" s="30" t="s">
        <v>686</v>
      </c>
      <c r="F242" s="30"/>
      <c r="G242" s="30" t="s">
        <v>687</v>
      </c>
      <c r="H242" s="30"/>
      <c r="I242" s="30"/>
      <c r="J242" s="73" t="s">
        <v>688</v>
      </c>
      <c r="K242" s="445"/>
    </row>
    <row r="243" spans="2:11" ht="49.5" customHeight="1">
      <c r="B243" s="575"/>
      <c r="C243" s="444"/>
      <c r="D243" s="30" t="s">
        <v>689</v>
      </c>
      <c r="E243" s="30" t="s">
        <v>690</v>
      </c>
      <c r="F243" s="30"/>
      <c r="G243" s="30" t="s">
        <v>691</v>
      </c>
      <c r="H243" s="30" t="s">
        <v>804</v>
      </c>
      <c r="I243" s="30"/>
      <c r="J243" s="10" t="s">
        <v>691</v>
      </c>
      <c r="K243" s="445"/>
    </row>
    <row r="244" spans="2:11" ht="29">
      <c r="B244" s="575"/>
      <c r="C244" s="446" t="s">
        <v>692</v>
      </c>
      <c r="D244" s="30" t="s">
        <v>693</v>
      </c>
      <c r="E244" s="30" t="s">
        <v>694</v>
      </c>
      <c r="F244" s="30"/>
      <c r="G244" s="30" t="s">
        <v>695</v>
      </c>
      <c r="H244" s="30"/>
      <c r="I244" s="30"/>
      <c r="J244" s="10" t="s">
        <v>696</v>
      </c>
      <c r="K244" s="445"/>
    </row>
    <row r="245" spans="2:11" ht="43.5">
      <c r="B245" s="575"/>
      <c r="C245" s="446"/>
      <c r="D245" s="30" t="s">
        <v>697</v>
      </c>
      <c r="E245" s="30" t="s">
        <v>698</v>
      </c>
      <c r="F245" s="30"/>
      <c r="G245" s="30" t="s">
        <v>699</v>
      </c>
      <c r="H245" s="30"/>
      <c r="I245" s="30"/>
      <c r="J245" s="30" t="s">
        <v>700</v>
      </c>
      <c r="K245" s="445"/>
    </row>
    <row r="246" spans="2:11" ht="29">
      <c r="B246" s="575"/>
      <c r="C246" s="446"/>
      <c r="D246" s="30" t="s">
        <v>82</v>
      </c>
      <c r="E246" s="45" t="s">
        <v>701</v>
      </c>
      <c r="F246" s="45"/>
      <c r="G246" s="30" t="s">
        <v>702</v>
      </c>
      <c r="H246" s="30"/>
      <c r="I246" s="30"/>
      <c r="J246" s="30" t="s">
        <v>702</v>
      </c>
      <c r="K246" s="445"/>
    </row>
    <row r="247" spans="2:11" ht="29">
      <c r="B247" s="575"/>
      <c r="C247" s="446"/>
      <c r="D247" s="30" t="s">
        <v>703</v>
      </c>
      <c r="E247" s="30" t="s">
        <v>704</v>
      </c>
      <c r="F247" s="30"/>
      <c r="G247" s="30" t="s">
        <v>705</v>
      </c>
      <c r="H247" s="30"/>
      <c r="I247" s="30"/>
      <c r="J247" s="30" t="s">
        <v>705</v>
      </c>
      <c r="K247" s="445"/>
    </row>
    <row r="248" spans="2:11" ht="29">
      <c r="B248" s="575"/>
      <c r="C248" s="446"/>
      <c r="D248" s="30" t="s">
        <v>706</v>
      </c>
      <c r="E248" s="45" t="s">
        <v>707</v>
      </c>
      <c r="F248" s="45"/>
      <c r="G248" s="30" t="s">
        <v>708</v>
      </c>
      <c r="H248" s="30"/>
      <c r="I248" s="30"/>
      <c r="J248" s="30" t="s">
        <v>709</v>
      </c>
      <c r="K248" s="445"/>
    </row>
    <row r="249" spans="2:11" ht="29">
      <c r="B249" s="575"/>
      <c r="C249" s="446"/>
      <c r="D249" s="30" t="s">
        <v>710</v>
      </c>
      <c r="E249" s="30"/>
      <c r="F249" s="30"/>
      <c r="G249" s="30" t="s">
        <v>711</v>
      </c>
      <c r="H249" s="30"/>
      <c r="I249" s="30"/>
      <c r="J249" s="30" t="s">
        <v>712</v>
      </c>
      <c r="K249" s="445"/>
    </row>
  </sheetData>
  <mergeCells count="212">
    <mergeCell ref="J210:J211"/>
    <mergeCell ref="G189:K189"/>
    <mergeCell ref="D73:D74"/>
    <mergeCell ref="J226:J227"/>
    <mergeCell ref="C228:C231"/>
    <mergeCell ref="C232:C234"/>
    <mergeCell ref="J235:K235"/>
    <mergeCell ref="C236:J236"/>
    <mergeCell ref="B237:B249"/>
    <mergeCell ref="C237:C238"/>
    <mergeCell ref="K237:K249"/>
    <mergeCell ref="C239:C243"/>
    <mergeCell ref="C244:C249"/>
    <mergeCell ref="J219:K219"/>
    <mergeCell ref="C220:K220"/>
    <mergeCell ref="B221:B234"/>
    <mergeCell ref="C221:C225"/>
    <mergeCell ref="G221:G222"/>
    <mergeCell ref="J221:J222"/>
    <mergeCell ref="K221:K234"/>
    <mergeCell ref="C226:C227"/>
    <mergeCell ref="E226:E227"/>
    <mergeCell ref="G226:G227"/>
    <mergeCell ref="C210:C213"/>
    <mergeCell ref="G210:G211"/>
    <mergeCell ref="B190:B218"/>
    <mergeCell ref="C190:C200"/>
    <mergeCell ref="K190:K200"/>
    <mergeCell ref="C201:C208"/>
    <mergeCell ref="K201:K218"/>
    <mergeCell ref="C179:K179"/>
    <mergeCell ref="C180:K180"/>
    <mergeCell ref="B181:B186"/>
    <mergeCell ref="C181:C183"/>
    <mergeCell ref="G181:G182"/>
    <mergeCell ref="J181:J182"/>
    <mergeCell ref="K181:K186"/>
    <mergeCell ref="C184:C186"/>
    <mergeCell ref="E185:E186"/>
    <mergeCell ref="J185:J186"/>
    <mergeCell ref="G212:G213"/>
    <mergeCell ref="J212:J213"/>
    <mergeCell ref="C214:C217"/>
    <mergeCell ref="G214:G216"/>
    <mergeCell ref="J214:J216"/>
    <mergeCell ref="C187:K187"/>
    <mergeCell ref="C188:D188"/>
    <mergeCell ref="J188:K188"/>
    <mergeCell ref="C189:D189"/>
    <mergeCell ref="C166:K166"/>
    <mergeCell ref="B167:B178"/>
    <mergeCell ref="C167:C178"/>
    <mergeCell ref="E167:E168"/>
    <mergeCell ref="K167:K178"/>
    <mergeCell ref="E170:E171"/>
    <mergeCell ref="E174:E175"/>
    <mergeCell ref="E176:E177"/>
    <mergeCell ref="B147:B164"/>
    <mergeCell ref="C147:C148"/>
    <mergeCell ref="J147:J148"/>
    <mergeCell ref="K147:K150"/>
    <mergeCell ref="C149:C150"/>
    <mergeCell ref="J149:J150"/>
    <mergeCell ref="C151:C152"/>
    <mergeCell ref="J151:J152"/>
    <mergeCell ref="K155:K156"/>
    <mergeCell ref="C157:C161"/>
    <mergeCell ref="E157:E158"/>
    <mergeCell ref="G157:G158"/>
    <mergeCell ref="J157:J158"/>
    <mergeCell ref="K157:K164"/>
    <mergeCell ref="E159:E160"/>
    <mergeCell ref="J159:J161"/>
    <mergeCell ref="C162:C164"/>
    <mergeCell ref="C153:C156"/>
    <mergeCell ref="E162:E163"/>
    <mergeCell ref="J162:J164"/>
    <mergeCell ref="C145:K145"/>
    <mergeCell ref="C146:J146"/>
    <mergeCell ref="E137:E138"/>
    <mergeCell ref="G137:G138"/>
    <mergeCell ref="J137:J138"/>
    <mergeCell ref="E140:E141"/>
    <mergeCell ref="G140:G141"/>
    <mergeCell ref="J140:J141"/>
    <mergeCell ref="J153:J154"/>
    <mergeCell ref="K151:K154"/>
    <mergeCell ref="C123:K123"/>
    <mergeCell ref="K124:K144"/>
    <mergeCell ref="B125:B144"/>
    <mergeCell ref="C125:C141"/>
    <mergeCell ref="G129:G130"/>
    <mergeCell ref="J129:J130"/>
    <mergeCell ref="E134:E135"/>
    <mergeCell ref="G134:G135"/>
    <mergeCell ref="J134:J135"/>
    <mergeCell ref="C142:C144"/>
    <mergeCell ref="E142:E143"/>
    <mergeCell ref="G142:G143"/>
    <mergeCell ref="J142:J143"/>
    <mergeCell ref="C94:K94"/>
    <mergeCell ref="J95:K95"/>
    <mergeCell ref="C96:K96"/>
    <mergeCell ref="B97:B121"/>
    <mergeCell ref="C97:C99"/>
    <mergeCell ref="K97:K99"/>
    <mergeCell ref="E98:E99"/>
    <mergeCell ref="C100:C116"/>
    <mergeCell ref="E100:E102"/>
    <mergeCell ref="K100:K121"/>
    <mergeCell ref="E107:E108"/>
    <mergeCell ref="E109:E110"/>
    <mergeCell ref="E111:E112"/>
    <mergeCell ref="E113:E114"/>
    <mergeCell ref="E115:E116"/>
    <mergeCell ref="C117:C118"/>
    <mergeCell ref="E117:E118"/>
    <mergeCell ref="G101:G102"/>
    <mergeCell ref="J101:J102"/>
    <mergeCell ref="E103:E104"/>
    <mergeCell ref="G103:G104"/>
    <mergeCell ref="J103:J104"/>
    <mergeCell ref="E105:E106"/>
    <mergeCell ref="C119:C121"/>
    <mergeCell ref="C81:K81"/>
    <mergeCell ref="C82:K82"/>
    <mergeCell ref="B83:B93"/>
    <mergeCell ref="C83:C86"/>
    <mergeCell ref="K83:K93"/>
    <mergeCell ref="E85:E86"/>
    <mergeCell ref="G85:G86"/>
    <mergeCell ref="J85:J86"/>
    <mergeCell ref="C87:C88"/>
    <mergeCell ref="C89:C93"/>
    <mergeCell ref="C78:K78"/>
    <mergeCell ref="B79:B80"/>
    <mergeCell ref="C79:C80"/>
    <mergeCell ref="E79:E80"/>
    <mergeCell ref="K79:K80"/>
    <mergeCell ref="B69:B76"/>
    <mergeCell ref="C69:C72"/>
    <mergeCell ref="K69:K76"/>
    <mergeCell ref="E71:E72"/>
    <mergeCell ref="G71:G72"/>
    <mergeCell ref="J71:J72"/>
    <mergeCell ref="C73:C76"/>
    <mergeCell ref="E73:E75"/>
    <mergeCell ref="G73:G75"/>
    <mergeCell ref="J73:J75"/>
    <mergeCell ref="B31:B42"/>
    <mergeCell ref="C31:C33"/>
    <mergeCell ref="J67:K67"/>
    <mergeCell ref="J68:K68"/>
    <mergeCell ref="J54:J56"/>
    <mergeCell ref="K54:K56"/>
    <mergeCell ref="E55:E56"/>
    <mergeCell ref="C57:K57"/>
    <mergeCell ref="E77:K77"/>
    <mergeCell ref="B59:B66"/>
    <mergeCell ref="C59:C61"/>
    <mergeCell ref="E59:E60"/>
    <mergeCell ref="G59:G60"/>
    <mergeCell ref="J59:J60"/>
    <mergeCell ref="K59:K66"/>
    <mergeCell ref="C43:K43"/>
    <mergeCell ref="C44:K44"/>
    <mergeCell ref="B45:B56"/>
    <mergeCell ref="C45:C50"/>
    <mergeCell ref="J45:J53"/>
    <mergeCell ref="K45:K53"/>
    <mergeCell ref="G46:G47"/>
    <mergeCell ref="C51:C53"/>
    <mergeCell ref="C54:C56"/>
    <mergeCell ref="G54:G56"/>
    <mergeCell ref="C62:C64"/>
    <mergeCell ref="E62:E63"/>
    <mergeCell ref="G62:G63"/>
    <mergeCell ref="J62:J63"/>
    <mergeCell ref="K31:K42"/>
    <mergeCell ref="C34:C36"/>
    <mergeCell ref="E34:E36"/>
    <mergeCell ref="J34:J36"/>
    <mergeCell ref="C37:C38"/>
    <mergeCell ref="E37:E38"/>
    <mergeCell ref="G37:G38"/>
    <mergeCell ref="J37:J39"/>
    <mergeCell ref="C40:C42"/>
    <mergeCell ref="E40:E41"/>
    <mergeCell ref="G40:G41"/>
    <mergeCell ref="J40:J42"/>
    <mergeCell ref="J29:K29"/>
    <mergeCell ref="C30:D30"/>
    <mergeCell ref="J30:K30"/>
    <mergeCell ref="C1:K1"/>
    <mergeCell ref="C2:K2"/>
    <mergeCell ref="C3:K3"/>
    <mergeCell ref="C7:K7"/>
    <mergeCell ref="G9:K9"/>
    <mergeCell ref="B10:B28"/>
    <mergeCell ref="C10:C17"/>
    <mergeCell ref="E10:E11"/>
    <mergeCell ref="G10:G11"/>
    <mergeCell ref="J10:J11"/>
    <mergeCell ref="K10:K28"/>
    <mergeCell ref="E15:E16"/>
    <mergeCell ref="G15:G16"/>
    <mergeCell ref="J15:J16"/>
    <mergeCell ref="C18:C22"/>
    <mergeCell ref="E20:E21"/>
    <mergeCell ref="G20:G21"/>
    <mergeCell ref="J20:J21"/>
    <mergeCell ref="C23:C2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82F56-AF39-45F5-A55E-F226F6E0E0E7}">
  <dimension ref="A1:L313"/>
  <sheetViews>
    <sheetView tabSelected="1" topLeftCell="E1" zoomScale="69" zoomScaleNormal="50" workbookViewId="0">
      <pane ySplit="1" topLeftCell="A65" activePane="bottomLeft" state="frozen"/>
      <selection pane="bottomLeft" activeCell="H65" sqref="H65"/>
    </sheetView>
  </sheetViews>
  <sheetFormatPr baseColWidth="10" defaultColWidth="37.08984375" defaultRowHeight="15" customHeight="1"/>
  <cols>
    <col min="1" max="1" width="5" style="173" customWidth="1"/>
    <col min="2" max="3" width="37.08984375" style="193"/>
    <col min="4" max="4" width="37.36328125" style="173" customWidth="1"/>
    <col min="5" max="5" width="64.36328125" style="173" customWidth="1"/>
    <col min="6" max="6" width="32.36328125" style="143" customWidth="1"/>
    <col min="7" max="7" width="29.6328125" style="173" customWidth="1"/>
    <col min="8" max="8" width="38.36328125" style="173" customWidth="1"/>
    <col min="9" max="9" width="50.36328125" style="173" customWidth="1"/>
    <col min="10" max="10" width="51.6328125" style="173" hidden="1" customWidth="1"/>
    <col min="11" max="16380" width="37.08984375" style="173"/>
    <col min="16381" max="16384" width="37.08984375" style="173" bestFit="1"/>
  </cols>
  <sheetData>
    <row r="1" spans="1:12" s="143" customFormat="1" ht="23.25" customHeight="1">
      <c r="A1" s="185" t="s">
        <v>805</v>
      </c>
      <c r="B1" s="186" t="s">
        <v>806</v>
      </c>
      <c r="C1" s="186" t="s">
        <v>807</v>
      </c>
      <c r="D1" s="186" t="s">
        <v>808</v>
      </c>
      <c r="E1" s="186" t="s">
        <v>809</v>
      </c>
      <c r="F1" s="186" t="s">
        <v>810</v>
      </c>
      <c r="G1" s="186" t="s">
        <v>811</v>
      </c>
      <c r="H1" s="186" t="s">
        <v>812</v>
      </c>
      <c r="I1" s="186" t="s">
        <v>813</v>
      </c>
      <c r="J1" s="186" t="s">
        <v>814</v>
      </c>
      <c r="K1" s="143" t="s">
        <v>1636</v>
      </c>
      <c r="L1" s="143" t="s">
        <v>1637</v>
      </c>
    </row>
    <row r="2" spans="1:12" s="187" customFormat="1" ht="87" customHeight="1">
      <c r="A2" s="328">
        <v>1</v>
      </c>
      <c r="B2" s="296" t="s">
        <v>815</v>
      </c>
      <c r="C2" s="374" t="s">
        <v>816</v>
      </c>
      <c r="D2" s="328" t="s">
        <v>817</v>
      </c>
      <c r="E2" s="182" t="s">
        <v>818</v>
      </c>
      <c r="F2" s="201" t="s">
        <v>819</v>
      </c>
      <c r="G2" s="198" t="s">
        <v>820</v>
      </c>
      <c r="H2" s="198" t="s">
        <v>820</v>
      </c>
      <c r="I2" s="195" t="s">
        <v>821</v>
      </c>
      <c r="J2" s="195" t="s">
        <v>821</v>
      </c>
      <c r="K2" s="187" t="s">
        <v>1629</v>
      </c>
      <c r="L2" s="187" t="s">
        <v>1631</v>
      </c>
    </row>
    <row r="3" spans="1:12" s="187" customFormat="1" ht="156.75" customHeight="1">
      <c r="A3" s="329"/>
      <c r="B3" s="297"/>
      <c r="C3" s="375"/>
      <c r="D3" s="329"/>
      <c r="E3" s="343" t="s">
        <v>822</v>
      </c>
      <c r="F3" s="201" t="s">
        <v>823</v>
      </c>
      <c r="G3" s="198" t="s">
        <v>820</v>
      </c>
      <c r="H3" s="195" t="s">
        <v>824</v>
      </c>
      <c r="I3" s="195" t="s">
        <v>825</v>
      </c>
      <c r="J3" s="195" t="s">
        <v>826</v>
      </c>
      <c r="K3" s="187" t="s">
        <v>1630</v>
      </c>
      <c r="L3" s="187" t="s">
        <v>1632</v>
      </c>
    </row>
    <row r="4" spans="1:12" s="187" customFormat="1" ht="29">
      <c r="A4" s="329"/>
      <c r="B4" s="297"/>
      <c r="C4" s="375"/>
      <c r="D4" s="329"/>
      <c r="E4" s="344"/>
      <c r="F4" s="201" t="s">
        <v>827</v>
      </c>
      <c r="G4" s="198" t="s">
        <v>820</v>
      </c>
      <c r="H4" s="198" t="s">
        <v>820</v>
      </c>
      <c r="I4" s="195" t="s">
        <v>828</v>
      </c>
      <c r="J4" s="195" t="s">
        <v>829</v>
      </c>
      <c r="K4" s="187" t="s">
        <v>1633</v>
      </c>
      <c r="L4" s="187" t="s">
        <v>1634</v>
      </c>
    </row>
    <row r="5" spans="1:12" s="187" customFormat="1" ht="29">
      <c r="A5" s="329"/>
      <c r="B5" s="297"/>
      <c r="C5" s="375"/>
      <c r="D5" s="329"/>
      <c r="E5" s="345"/>
      <c r="F5" s="201" t="s">
        <v>830</v>
      </c>
      <c r="G5" s="198" t="s">
        <v>820</v>
      </c>
      <c r="H5" s="195" t="s">
        <v>831</v>
      </c>
      <c r="I5" s="195" t="s">
        <v>831</v>
      </c>
      <c r="J5" s="195" t="s">
        <v>832</v>
      </c>
      <c r="K5" s="187" t="s">
        <v>1633</v>
      </c>
      <c r="L5" s="187" t="s">
        <v>1634</v>
      </c>
    </row>
    <row r="6" spans="1:12" s="187" customFormat="1" ht="29">
      <c r="A6" s="329"/>
      <c r="B6" s="297"/>
      <c r="C6" s="375"/>
      <c r="D6" s="329"/>
      <c r="E6" s="182" t="s">
        <v>833</v>
      </c>
      <c r="F6" s="201" t="s">
        <v>819</v>
      </c>
      <c r="G6" s="198" t="s">
        <v>820</v>
      </c>
      <c r="H6" s="198" t="s">
        <v>820</v>
      </c>
      <c r="I6" s="195" t="s">
        <v>831</v>
      </c>
      <c r="J6" s="195" t="s">
        <v>834</v>
      </c>
      <c r="K6" s="187" t="s">
        <v>1629</v>
      </c>
      <c r="L6" s="187" t="s">
        <v>1631</v>
      </c>
    </row>
    <row r="7" spans="1:12" s="187" customFormat="1" ht="30" customHeight="1">
      <c r="A7" s="329"/>
      <c r="B7" s="297"/>
      <c r="C7" s="376"/>
      <c r="D7" s="330"/>
      <c r="E7" s="182" t="s">
        <v>835</v>
      </c>
      <c r="F7" s="200" t="s">
        <v>836</v>
      </c>
      <c r="G7" s="198" t="s">
        <v>820</v>
      </c>
      <c r="H7" s="198" t="s">
        <v>820</v>
      </c>
      <c r="I7" s="189" t="s">
        <v>837</v>
      </c>
      <c r="J7" s="195" t="s">
        <v>838</v>
      </c>
      <c r="K7" s="187" t="s">
        <v>1630</v>
      </c>
      <c r="L7" s="187" t="s">
        <v>1632</v>
      </c>
    </row>
    <row r="8" spans="1:12" ht="45.65" customHeight="1">
      <c r="A8" s="329"/>
      <c r="B8" s="297"/>
      <c r="C8" s="377" t="s">
        <v>839</v>
      </c>
      <c r="D8" s="357" t="s">
        <v>840</v>
      </c>
      <c r="E8" s="182" t="s">
        <v>818</v>
      </c>
      <c r="F8" s="201" t="s">
        <v>819</v>
      </c>
      <c r="G8" s="198" t="s">
        <v>820</v>
      </c>
      <c r="H8" s="198" t="s">
        <v>820</v>
      </c>
      <c r="I8" s="10" t="s">
        <v>841</v>
      </c>
      <c r="J8" s="10" t="s">
        <v>842</v>
      </c>
      <c r="K8" s="187" t="s">
        <v>1629</v>
      </c>
      <c r="L8" s="187" t="s">
        <v>1631</v>
      </c>
    </row>
    <row r="9" spans="1:12" ht="29">
      <c r="A9" s="329"/>
      <c r="B9" s="297"/>
      <c r="C9" s="377"/>
      <c r="D9" s="357"/>
      <c r="E9" s="357" t="s">
        <v>822</v>
      </c>
      <c r="F9" s="201" t="s">
        <v>823</v>
      </c>
      <c r="G9" s="198" t="s">
        <v>820</v>
      </c>
      <c r="H9" s="198" t="s">
        <v>820</v>
      </c>
      <c r="I9" s="10" t="s">
        <v>843</v>
      </c>
      <c r="J9" s="10" t="s">
        <v>844</v>
      </c>
      <c r="K9" s="187" t="s">
        <v>1630</v>
      </c>
      <c r="L9" s="187" t="s">
        <v>1632</v>
      </c>
    </row>
    <row r="10" spans="1:12" ht="29">
      <c r="A10" s="329"/>
      <c r="B10" s="297"/>
      <c r="C10" s="377"/>
      <c r="D10" s="357"/>
      <c r="E10" s="357"/>
      <c r="F10" s="201" t="s">
        <v>827</v>
      </c>
      <c r="G10" s="198" t="s">
        <v>820</v>
      </c>
      <c r="H10" s="198" t="s">
        <v>820</v>
      </c>
      <c r="I10" s="203" t="s">
        <v>820</v>
      </c>
      <c r="J10" s="190" t="s">
        <v>845</v>
      </c>
      <c r="K10" s="187" t="s">
        <v>1633</v>
      </c>
      <c r="L10" s="187" t="s">
        <v>1634</v>
      </c>
    </row>
    <row r="11" spans="1:12" ht="29">
      <c r="A11" s="329"/>
      <c r="B11" s="297"/>
      <c r="C11" s="377"/>
      <c r="D11" s="357"/>
      <c r="E11" s="357"/>
      <c r="F11" s="201" t="s">
        <v>830</v>
      </c>
      <c r="G11" s="198" t="s">
        <v>820</v>
      </c>
      <c r="H11" s="198" t="s">
        <v>820</v>
      </c>
      <c r="I11" s="203" t="s">
        <v>820</v>
      </c>
      <c r="J11" s="190" t="s">
        <v>846</v>
      </c>
      <c r="K11" s="187" t="s">
        <v>1633</v>
      </c>
      <c r="L11" s="187" t="s">
        <v>1634</v>
      </c>
    </row>
    <row r="12" spans="1:12" ht="29">
      <c r="A12" s="329"/>
      <c r="B12" s="297"/>
      <c r="C12" s="377"/>
      <c r="D12" s="357"/>
      <c r="E12" s="182" t="s">
        <v>833</v>
      </c>
      <c r="F12" s="201" t="s">
        <v>819</v>
      </c>
      <c r="G12" s="198" t="s">
        <v>820</v>
      </c>
      <c r="H12" s="198" t="s">
        <v>820</v>
      </c>
      <c r="I12" s="203" t="s">
        <v>820</v>
      </c>
      <c r="J12" s="10" t="s">
        <v>842</v>
      </c>
      <c r="K12" s="187" t="s">
        <v>1629</v>
      </c>
      <c r="L12" s="187" t="s">
        <v>1631</v>
      </c>
    </row>
    <row r="13" spans="1:12" ht="91.5" customHeight="1">
      <c r="A13" s="329"/>
      <c r="B13" s="297"/>
      <c r="C13" s="377"/>
      <c r="D13" s="357"/>
      <c r="E13" s="182" t="s">
        <v>835</v>
      </c>
      <c r="F13" s="200" t="s">
        <v>836</v>
      </c>
      <c r="G13" s="198" t="s">
        <v>820</v>
      </c>
      <c r="H13" s="198" t="s">
        <v>820</v>
      </c>
      <c r="I13" s="190" t="s">
        <v>847</v>
      </c>
      <c r="J13" s="190" t="s">
        <v>848</v>
      </c>
      <c r="K13" s="187" t="s">
        <v>1630</v>
      </c>
      <c r="L13" s="187" t="s">
        <v>1632</v>
      </c>
    </row>
    <row r="14" spans="1:12" ht="43.25" customHeight="1">
      <c r="A14" s="329"/>
      <c r="B14" s="297"/>
      <c r="C14" s="371" t="s">
        <v>849</v>
      </c>
      <c r="D14" s="328" t="s">
        <v>850</v>
      </c>
      <c r="E14" s="182" t="s">
        <v>818</v>
      </c>
      <c r="F14" s="201" t="s">
        <v>819</v>
      </c>
      <c r="G14" s="198" t="s">
        <v>820</v>
      </c>
      <c r="H14" s="198" t="s">
        <v>820</v>
      </c>
      <c r="I14" s="190" t="s">
        <v>851</v>
      </c>
      <c r="J14" s="190" t="s">
        <v>852</v>
      </c>
      <c r="K14" s="187" t="s">
        <v>1629</v>
      </c>
      <c r="L14" s="187" t="s">
        <v>1631</v>
      </c>
    </row>
    <row r="15" spans="1:12" ht="29">
      <c r="A15" s="329"/>
      <c r="B15" s="297"/>
      <c r="C15" s="372"/>
      <c r="D15" s="329"/>
      <c r="E15" s="343" t="s">
        <v>822</v>
      </c>
      <c r="F15" s="201" t="s">
        <v>853</v>
      </c>
      <c r="G15" s="198" t="s">
        <v>820</v>
      </c>
      <c r="H15" s="198" t="s">
        <v>820</v>
      </c>
      <c r="I15" s="278"/>
      <c r="J15" s="190"/>
      <c r="K15" s="187" t="s">
        <v>1630</v>
      </c>
      <c r="L15" s="187" t="s">
        <v>1632</v>
      </c>
    </row>
    <row r="16" spans="1:12" ht="14.5">
      <c r="A16" s="329"/>
      <c r="B16" s="297"/>
      <c r="C16" s="372"/>
      <c r="D16" s="329"/>
      <c r="E16" s="345"/>
      <c r="F16" s="201" t="s">
        <v>854</v>
      </c>
      <c r="G16" s="198" t="s">
        <v>820</v>
      </c>
      <c r="H16" s="198" t="s">
        <v>820</v>
      </c>
      <c r="I16" s="190"/>
      <c r="J16" s="190"/>
      <c r="K16" s="173" t="s">
        <v>1635</v>
      </c>
      <c r="L16" s="173" t="s">
        <v>1638</v>
      </c>
    </row>
    <row r="17" spans="1:12" ht="29">
      <c r="A17" s="329"/>
      <c r="B17" s="297"/>
      <c r="C17" s="372"/>
      <c r="D17" s="329"/>
      <c r="E17" s="182" t="s">
        <v>833</v>
      </c>
      <c r="F17" s="203" t="s">
        <v>819</v>
      </c>
      <c r="G17" s="198" t="s">
        <v>820</v>
      </c>
      <c r="H17" s="198" t="s">
        <v>820</v>
      </c>
      <c r="I17" s="219"/>
      <c r="J17" s="190"/>
    </row>
    <row r="18" spans="1:12" ht="29">
      <c r="A18" s="329"/>
      <c r="B18" s="297"/>
      <c r="C18" s="373"/>
      <c r="D18" s="330"/>
      <c r="E18" s="182" t="s">
        <v>855</v>
      </c>
      <c r="F18" s="201" t="s">
        <v>836</v>
      </c>
      <c r="G18" s="198" t="s">
        <v>820</v>
      </c>
      <c r="H18" s="198" t="s">
        <v>820</v>
      </c>
      <c r="I18" s="278"/>
      <c r="J18" s="218"/>
      <c r="K18" s="187" t="s">
        <v>1630</v>
      </c>
      <c r="L18" s="187" t="s">
        <v>1632</v>
      </c>
    </row>
    <row r="19" spans="1:12" ht="186" customHeight="1">
      <c r="A19" s="329"/>
      <c r="B19" s="297"/>
      <c r="C19" s="340" t="s">
        <v>856</v>
      </c>
      <c r="D19" s="328" t="s">
        <v>857</v>
      </c>
      <c r="E19" s="184" t="s">
        <v>858</v>
      </c>
      <c r="F19" s="198" t="s">
        <v>859</v>
      </c>
      <c r="G19" s="198" t="s">
        <v>820</v>
      </c>
      <c r="H19" s="198" t="s">
        <v>820</v>
      </c>
      <c r="I19" s="190" t="s">
        <v>860</v>
      </c>
      <c r="J19" s="202" t="s">
        <v>861</v>
      </c>
      <c r="K19" s="173" t="s">
        <v>1639</v>
      </c>
      <c r="L19" s="173" t="s">
        <v>1638</v>
      </c>
    </row>
    <row r="20" spans="1:12" ht="29">
      <c r="A20" s="329"/>
      <c r="B20" s="297"/>
      <c r="C20" s="341"/>
      <c r="D20" s="329"/>
      <c r="E20" s="181" t="s">
        <v>862</v>
      </c>
      <c r="F20" s="198" t="s">
        <v>819</v>
      </c>
      <c r="G20" s="198" t="s">
        <v>820</v>
      </c>
      <c r="H20" s="198" t="s">
        <v>820</v>
      </c>
      <c r="I20" s="219">
        <v>0</v>
      </c>
      <c r="J20" s="190" t="s">
        <v>863</v>
      </c>
    </row>
    <row r="21" spans="1:12" ht="243" customHeight="1">
      <c r="A21" s="329"/>
      <c r="B21" s="297"/>
      <c r="C21" s="341"/>
      <c r="D21" s="329"/>
      <c r="E21" s="181" t="s">
        <v>864</v>
      </c>
      <c r="F21" s="198" t="s">
        <v>865</v>
      </c>
      <c r="G21" s="198" t="s">
        <v>820</v>
      </c>
      <c r="H21" s="198" t="s">
        <v>820</v>
      </c>
      <c r="I21" s="190" t="s">
        <v>866</v>
      </c>
      <c r="J21" s="190" t="s">
        <v>867</v>
      </c>
      <c r="K21" s="173" t="s">
        <v>1646</v>
      </c>
      <c r="L21" s="173" t="s">
        <v>1638</v>
      </c>
    </row>
    <row r="22" spans="1:12" ht="159.5">
      <c r="A22" s="329"/>
      <c r="B22" s="297"/>
      <c r="C22" s="342"/>
      <c r="D22" s="330"/>
      <c r="E22" s="181" t="s">
        <v>868</v>
      </c>
      <c r="F22" s="198" t="s">
        <v>836</v>
      </c>
      <c r="G22" s="198" t="s">
        <v>820</v>
      </c>
      <c r="H22" s="198" t="s">
        <v>820</v>
      </c>
      <c r="I22" s="190" t="s">
        <v>869</v>
      </c>
      <c r="J22" s="190" t="s">
        <v>870</v>
      </c>
      <c r="K22" s="143" t="s">
        <v>1630</v>
      </c>
      <c r="L22" s="187" t="s">
        <v>1632</v>
      </c>
    </row>
    <row r="23" spans="1:12" ht="29" customHeight="1">
      <c r="A23" s="329"/>
      <c r="B23" s="297"/>
      <c r="C23" s="340" t="s">
        <v>871</v>
      </c>
      <c r="D23" s="328" t="s">
        <v>872</v>
      </c>
      <c r="E23" s="188" t="s">
        <v>873</v>
      </c>
      <c r="F23" s="201" t="s">
        <v>819</v>
      </c>
      <c r="G23" s="198" t="s">
        <v>820</v>
      </c>
      <c r="H23" s="198" t="s">
        <v>820</v>
      </c>
      <c r="I23" s="198" t="s">
        <v>820</v>
      </c>
      <c r="J23" s="190" t="s">
        <v>874</v>
      </c>
    </row>
    <row r="24" spans="1:12" ht="29" customHeight="1">
      <c r="A24" s="329"/>
      <c r="B24" s="297"/>
      <c r="C24" s="341"/>
      <c r="D24" s="329"/>
      <c r="E24" s="188" t="s">
        <v>875</v>
      </c>
      <c r="F24" s="201" t="s">
        <v>865</v>
      </c>
      <c r="G24" s="198" t="s">
        <v>820</v>
      </c>
      <c r="H24" s="198" t="s">
        <v>820</v>
      </c>
      <c r="I24" s="198" t="s">
        <v>820</v>
      </c>
      <c r="J24" s="190" t="s">
        <v>876</v>
      </c>
      <c r="K24" s="173" t="s">
        <v>1646</v>
      </c>
      <c r="L24" s="173" t="s">
        <v>1638</v>
      </c>
    </row>
    <row r="25" spans="1:12" ht="29" customHeight="1">
      <c r="A25" s="330"/>
      <c r="B25" s="298"/>
      <c r="C25" s="342"/>
      <c r="D25" s="330"/>
      <c r="E25" s="188" t="s">
        <v>877</v>
      </c>
      <c r="F25" s="201" t="s">
        <v>836</v>
      </c>
      <c r="G25" s="198" t="s">
        <v>820</v>
      </c>
      <c r="H25" s="198" t="s">
        <v>820</v>
      </c>
      <c r="I25" s="198" t="s">
        <v>820</v>
      </c>
      <c r="J25" s="190" t="s">
        <v>878</v>
      </c>
    </row>
    <row r="26" spans="1:12" ht="29">
      <c r="A26" s="328">
        <v>2</v>
      </c>
      <c r="B26" s="338" t="s">
        <v>879</v>
      </c>
      <c r="C26" s="379" t="s">
        <v>880</v>
      </c>
      <c r="D26" s="328" t="s">
        <v>672</v>
      </c>
      <c r="E26" s="188" t="s">
        <v>881</v>
      </c>
      <c r="F26" s="201" t="s">
        <v>882</v>
      </c>
      <c r="G26" s="198" t="s">
        <v>820</v>
      </c>
      <c r="H26" s="10" t="s">
        <v>883</v>
      </c>
      <c r="I26" s="182" t="s">
        <v>883</v>
      </c>
      <c r="J26" s="190" t="s">
        <v>884</v>
      </c>
      <c r="K26" s="173" t="s">
        <v>1640</v>
      </c>
      <c r="L26" s="173" t="s">
        <v>1641</v>
      </c>
    </row>
    <row r="27" spans="1:12" ht="75.75" customHeight="1">
      <c r="A27" s="329"/>
      <c r="B27" s="338"/>
      <c r="C27" s="379"/>
      <c r="D27" s="329"/>
      <c r="E27" s="366" t="s">
        <v>885</v>
      </c>
      <c r="F27" s="201" t="s">
        <v>886</v>
      </c>
      <c r="G27" s="198" t="s">
        <v>820</v>
      </c>
      <c r="H27" s="203" t="s">
        <v>887</v>
      </c>
      <c r="I27" s="10" t="s">
        <v>888</v>
      </c>
      <c r="J27" s="10" t="s">
        <v>889</v>
      </c>
      <c r="K27" s="173" t="s">
        <v>1642</v>
      </c>
      <c r="L27" s="173" t="s">
        <v>1638</v>
      </c>
    </row>
    <row r="28" spans="1:12" ht="29" customHeight="1">
      <c r="A28" s="329"/>
      <c r="B28" s="338"/>
      <c r="C28" s="379"/>
      <c r="D28" s="329"/>
      <c r="E28" s="378"/>
      <c r="F28" s="201" t="s">
        <v>890</v>
      </c>
      <c r="G28" s="198" t="s">
        <v>820</v>
      </c>
      <c r="H28" s="203" t="s">
        <v>891</v>
      </c>
      <c r="I28" s="10" t="s">
        <v>892</v>
      </c>
      <c r="J28" s="10" t="s">
        <v>889</v>
      </c>
      <c r="K28" s="173" t="s">
        <v>1642</v>
      </c>
      <c r="L28" s="173" t="s">
        <v>1638</v>
      </c>
    </row>
    <row r="29" spans="1:12" ht="45.75" customHeight="1">
      <c r="A29" s="329"/>
      <c r="B29" s="338"/>
      <c r="C29" s="379"/>
      <c r="D29" s="329"/>
      <c r="E29" s="378"/>
      <c r="F29" s="201" t="s">
        <v>893</v>
      </c>
      <c r="G29" s="198" t="s">
        <v>820</v>
      </c>
      <c r="H29" s="203" t="s">
        <v>820</v>
      </c>
      <c r="I29" s="10" t="s">
        <v>894</v>
      </c>
      <c r="J29" s="10" t="s">
        <v>889</v>
      </c>
      <c r="K29" s="173" t="s">
        <v>1642</v>
      </c>
      <c r="L29" s="173" t="s">
        <v>1638</v>
      </c>
    </row>
    <row r="30" spans="1:12" ht="29" customHeight="1">
      <c r="A30" s="329"/>
      <c r="B30" s="338"/>
      <c r="C30" s="379"/>
      <c r="D30" s="329"/>
      <c r="E30" s="367"/>
      <c r="F30" s="201" t="s">
        <v>895</v>
      </c>
      <c r="G30" s="198" t="s">
        <v>820</v>
      </c>
      <c r="H30" s="10" t="s">
        <v>896</v>
      </c>
      <c r="I30" s="10" t="s">
        <v>897</v>
      </c>
      <c r="J30" s="10" t="s">
        <v>889</v>
      </c>
      <c r="K30" s="173" t="s">
        <v>1642</v>
      </c>
      <c r="L30" s="173" t="s">
        <v>1638</v>
      </c>
    </row>
    <row r="31" spans="1:12" ht="29" customHeight="1">
      <c r="A31" s="329"/>
      <c r="B31" s="338"/>
      <c r="C31" s="379"/>
      <c r="D31" s="329"/>
      <c r="E31" s="366" t="s">
        <v>898</v>
      </c>
      <c r="F31" s="201" t="s">
        <v>899</v>
      </c>
      <c r="G31" s="198" t="s">
        <v>820</v>
      </c>
      <c r="H31" s="129" t="s">
        <v>900</v>
      </c>
      <c r="I31" s="10" t="s">
        <v>901</v>
      </c>
      <c r="J31" s="10" t="s">
        <v>889</v>
      </c>
      <c r="K31" s="173" t="s">
        <v>1643</v>
      </c>
      <c r="L31" s="173" t="s">
        <v>1638</v>
      </c>
    </row>
    <row r="32" spans="1:12" ht="64.5" customHeight="1">
      <c r="A32" s="329"/>
      <c r="B32" s="338"/>
      <c r="C32" s="379"/>
      <c r="D32" s="329"/>
      <c r="E32" s="367"/>
      <c r="F32" s="201" t="s">
        <v>902</v>
      </c>
      <c r="G32" s="198" t="s">
        <v>820</v>
      </c>
      <c r="H32" s="203" t="s">
        <v>903</v>
      </c>
      <c r="I32" s="182" t="s">
        <v>904</v>
      </c>
      <c r="J32" s="182" t="s">
        <v>889</v>
      </c>
      <c r="K32" s="173" t="s">
        <v>1643</v>
      </c>
      <c r="L32" s="173" t="s">
        <v>1638</v>
      </c>
    </row>
    <row r="33" spans="1:12" ht="37.5" customHeight="1">
      <c r="A33" s="329"/>
      <c r="B33" s="338"/>
      <c r="C33" s="379"/>
      <c r="D33" s="329"/>
      <c r="E33" s="188" t="s">
        <v>905</v>
      </c>
      <c r="F33" s="201" t="s">
        <v>906</v>
      </c>
      <c r="G33" s="198" t="s">
        <v>820</v>
      </c>
      <c r="H33" s="198" t="s">
        <v>820</v>
      </c>
      <c r="I33" s="182" t="s">
        <v>907</v>
      </c>
      <c r="J33" s="182" t="s">
        <v>889</v>
      </c>
      <c r="K33" s="173" t="s">
        <v>1644</v>
      </c>
      <c r="L33" s="173" t="s">
        <v>1638</v>
      </c>
    </row>
    <row r="34" spans="1:12" ht="45.75" customHeight="1">
      <c r="A34" s="329"/>
      <c r="B34" s="338"/>
      <c r="C34" s="379"/>
      <c r="D34" s="330"/>
      <c r="E34" s="188" t="s">
        <v>908</v>
      </c>
      <c r="F34" s="201" t="s">
        <v>909</v>
      </c>
      <c r="G34" s="198" t="s">
        <v>820</v>
      </c>
      <c r="H34" s="198" t="s">
        <v>820</v>
      </c>
      <c r="I34" s="228" t="s">
        <v>910</v>
      </c>
      <c r="J34" s="182" t="s">
        <v>889</v>
      </c>
      <c r="K34" s="173" t="s">
        <v>1645</v>
      </c>
      <c r="L34" s="173" t="s">
        <v>1638</v>
      </c>
    </row>
    <row r="35" spans="1:12" ht="29" customHeight="1">
      <c r="A35" s="329"/>
      <c r="B35" s="338"/>
      <c r="C35" s="380" t="s">
        <v>911</v>
      </c>
      <c r="D35" s="328" t="s">
        <v>912</v>
      </c>
      <c r="E35" s="188" t="s">
        <v>913</v>
      </c>
      <c r="F35" s="201" t="s">
        <v>914</v>
      </c>
      <c r="G35" s="198" t="s">
        <v>820</v>
      </c>
      <c r="H35" s="198" t="s">
        <v>820</v>
      </c>
      <c r="I35" s="198" t="s">
        <v>820</v>
      </c>
      <c r="J35" s="182" t="s">
        <v>889</v>
      </c>
      <c r="K35" s="173" t="s">
        <v>1647</v>
      </c>
      <c r="L35" s="173" t="s">
        <v>1648</v>
      </c>
    </row>
    <row r="36" spans="1:12" ht="29" customHeight="1">
      <c r="A36" s="329"/>
      <c r="B36" s="338"/>
      <c r="C36" s="380"/>
      <c r="D36" s="329"/>
      <c r="E36" s="188" t="s">
        <v>915</v>
      </c>
      <c r="F36" s="201" t="s">
        <v>697</v>
      </c>
      <c r="G36" s="198" t="s">
        <v>820</v>
      </c>
      <c r="H36" s="198" t="s">
        <v>820</v>
      </c>
      <c r="I36" s="198" t="s">
        <v>820</v>
      </c>
      <c r="J36" s="182" t="s">
        <v>889</v>
      </c>
    </row>
    <row r="37" spans="1:12" ht="29" customHeight="1">
      <c r="A37" s="329"/>
      <c r="B37" s="338"/>
      <c r="C37" s="380"/>
      <c r="D37" s="329"/>
      <c r="E37" s="188" t="s">
        <v>916</v>
      </c>
      <c r="F37" s="201" t="s">
        <v>917</v>
      </c>
      <c r="G37" s="198" t="s">
        <v>820</v>
      </c>
      <c r="H37" s="198" t="s">
        <v>820</v>
      </c>
      <c r="I37" s="198" t="s">
        <v>820</v>
      </c>
      <c r="J37" s="182" t="s">
        <v>889</v>
      </c>
      <c r="K37" s="173" t="s">
        <v>1642</v>
      </c>
      <c r="L37" s="173" t="s">
        <v>1638</v>
      </c>
    </row>
    <row r="38" spans="1:12" ht="29" customHeight="1">
      <c r="A38" s="329"/>
      <c r="B38" s="338"/>
      <c r="C38" s="380"/>
      <c r="D38" s="329"/>
      <c r="E38" s="336" t="s">
        <v>918</v>
      </c>
      <c r="F38" s="201" t="s">
        <v>919</v>
      </c>
      <c r="G38" s="198" t="s">
        <v>820</v>
      </c>
      <c r="H38" s="198" t="s">
        <v>820</v>
      </c>
      <c r="I38" s="198" t="s">
        <v>820</v>
      </c>
      <c r="J38" s="182" t="s">
        <v>889</v>
      </c>
      <c r="K38" s="173" t="s">
        <v>1642</v>
      </c>
      <c r="L38" s="173" t="s">
        <v>1638</v>
      </c>
    </row>
    <row r="39" spans="1:12" ht="29" customHeight="1">
      <c r="A39" s="330"/>
      <c r="B39" s="338"/>
      <c r="C39" s="380"/>
      <c r="D39" s="330"/>
      <c r="E39" s="336"/>
      <c r="F39" s="201" t="s">
        <v>920</v>
      </c>
      <c r="G39" s="198" t="s">
        <v>820</v>
      </c>
      <c r="H39" s="198" t="s">
        <v>820</v>
      </c>
      <c r="I39" s="198" t="s">
        <v>820</v>
      </c>
      <c r="J39" s="182" t="s">
        <v>889</v>
      </c>
      <c r="K39" s="173" t="s">
        <v>1649</v>
      </c>
      <c r="L39" s="173" t="s">
        <v>1650</v>
      </c>
    </row>
    <row r="40" spans="1:12" ht="194.4" customHeight="1">
      <c r="A40" s="368">
        <v>3</v>
      </c>
      <c r="B40" s="338" t="s">
        <v>921</v>
      </c>
      <c r="C40" s="384" t="s">
        <v>922</v>
      </c>
      <c r="D40" s="357" t="s">
        <v>923</v>
      </c>
      <c r="E40" s="182" t="s">
        <v>924</v>
      </c>
      <c r="F40" s="201" t="s">
        <v>925</v>
      </c>
      <c r="G40" s="198" t="s">
        <v>820</v>
      </c>
      <c r="H40" s="198" t="s">
        <v>820</v>
      </c>
      <c r="I40" s="201" t="s">
        <v>820</v>
      </c>
      <c r="J40" s="196" t="s">
        <v>926</v>
      </c>
      <c r="K40" s="173" t="s">
        <v>1652</v>
      </c>
      <c r="L40" s="173" t="s">
        <v>1653</v>
      </c>
    </row>
    <row r="41" spans="1:12" ht="147" customHeight="1">
      <c r="A41" s="369"/>
      <c r="B41" s="338"/>
      <c r="C41" s="384"/>
      <c r="D41" s="357"/>
      <c r="E41" s="182" t="s">
        <v>927</v>
      </c>
      <c r="F41" s="201" t="s">
        <v>928</v>
      </c>
      <c r="G41" s="248"/>
      <c r="H41" s="248"/>
      <c r="I41" s="182" t="s">
        <v>758</v>
      </c>
      <c r="J41" s="196" t="s">
        <v>929</v>
      </c>
      <c r="K41" s="173" t="s">
        <v>1654</v>
      </c>
      <c r="L41" s="173" t="s">
        <v>1638</v>
      </c>
    </row>
    <row r="42" spans="1:12" ht="184.5" customHeight="1">
      <c r="A42" s="369"/>
      <c r="B42" s="338"/>
      <c r="C42" s="384"/>
      <c r="D42" s="357"/>
      <c r="E42" s="182" t="s">
        <v>930</v>
      </c>
      <c r="F42" s="201" t="s">
        <v>931</v>
      </c>
      <c r="G42" s="182" t="s">
        <v>932</v>
      </c>
      <c r="H42" s="10" t="s">
        <v>933</v>
      </c>
      <c r="I42" s="10" t="s">
        <v>934</v>
      </c>
      <c r="J42" s="10" t="s">
        <v>935</v>
      </c>
      <c r="K42" s="173" t="s">
        <v>1655</v>
      </c>
      <c r="L42" s="173" t="s">
        <v>1656</v>
      </c>
    </row>
    <row r="43" spans="1:12" ht="58">
      <c r="A43" s="369"/>
      <c r="B43" s="338"/>
      <c r="C43" s="384"/>
      <c r="D43" s="357"/>
      <c r="E43" s="182" t="s">
        <v>936</v>
      </c>
      <c r="F43" s="201" t="s">
        <v>931</v>
      </c>
      <c r="G43" s="182" t="s">
        <v>937</v>
      </c>
      <c r="H43" s="182" t="s">
        <v>938</v>
      </c>
      <c r="I43" s="182" t="s">
        <v>939</v>
      </c>
      <c r="J43" s="182" t="s">
        <v>940</v>
      </c>
      <c r="K43" s="173" t="s">
        <v>1655</v>
      </c>
    </row>
    <row r="44" spans="1:12" ht="51.75" customHeight="1">
      <c r="A44" s="369"/>
      <c r="B44" s="338"/>
      <c r="C44" s="384"/>
      <c r="D44" s="357"/>
      <c r="E44" s="336" t="s">
        <v>941</v>
      </c>
      <c r="F44" s="201" t="s">
        <v>942</v>
      </c>
      <c r="G44" s="228" t="s">
        <v>820</v>
      </c>
      <c r="H44" s="228" t="s">
        <v>820</v>
      </c>
      <c r="I44" s="228">
        <v>1</v>
      </c>
      <c r="J44" s="228" t="s">
        <v>889</v>
      </c>
      <c r="K44" s="173" t="s">
        <v>1657</v>
      </c>
      <c r="L44" s="173" t="s">
        <v>1638</v>
      </c>
    </row>
    <row r="45" spans="1:12" ht="43.5">
      <c r="A45" s="369"/>
      <c r="B45" s="338"/>
      <c r="C45" s="384"/>
      <c r="D45" s="357"/>
      <c r="E45" s="336"/>
      <c r="F45" s="201" t="s">
        <v>943</v>
      </c>
      <c r="G45" s="228" t="s">
        <v>820</v>
      </c>
      <c r="H45" s="228" t="s">
        <v>820</v>
      </c>
      <c r="I45" s="228" t="s">
        <v>944</v>
      </c>
      <c r="J45" s="228" t="s">
        <v>889</v>
      </c>
      <c r="K45" s="173" t="s">
        <v>1657</v>
      </c>
    </row>
    <row r="46" spans="1:12" ht="14.5">
      <c r="A46" s="369"/>
      <c r="B46" s="338"/>
      <c r="C46" s="384"/>
      <c r="D46" s="357"/>
      <c r="E46" s="336"/>
      <c r="F46" s="201" t="s">
        <v>945</v>
      </c>
      <c r="G46" s="228" t="s">
        <v>820</v>
      </c>
      <c r="H46" s="228" t="s">
        <v>820</v>
      </c>
      <c r="I46" s="228">
        <v>1</v>
      </c>
      <c r="J46" s="228" t="s">
        <v>889</v>
      </c>
      <c r="K46" s="173" t="s">
        <v>1657</v>
      </c>
    </row>
    <row r="47" spans="1:12" ht="43.5">
      <c r="A47" s="369"/>
      <c r="B47" s="338"/>
      <c r="C47" s="384"/>
      <c r="D47" s="357"/>
      <c r="E47" s="182" t="s">
        <v>946</v>
      </c>
      <c r="F47" s="201" t="s">
        <v>947</v>
      </c>
      <c r="G47" s="182" t="s">
        <v>948</v>
      </c>
      <c r="H47" s="182" t="s">
        <v>949</v>
      </c>
      <c r="I47" s="182" t="s">
        <v>950</v>
      </c>
      <c r="J47" s="10" t="s">
        <v>951</v>
      </c>
      <c r="K47" s="173" t="s">
        <v>1655</v>
      </c>
      <c r="L47" s="173" t="s">
        <v>1656</v>
      </c>
    </row>
    <row r="48" spans="1:12" ht="43.5">
      <c r="A48" s="369"/>
      <c r="B48" s="338"/>
      <c r="C48" s="384"/>
      <c r="D48" s="349" t="s">
        <v>952</v>
      </c>
      <c r="E48" s="182" t="s">
        <v>953</v>
      </c>
      <c r="F48" s="201" t="s">
        <v>954</v>
      </c>
      <c r="G48" s="201">
        <v>8</v>
      </c>
      <c r="H48" s="203">
        <v>8</v>
      </c>
      <c r="I48" s="203">
        <v>30</v>
      </c>
      <c r="J48" s="203">
        <v>22</v>
      </c>
      <c r="K48" s="173" t="s">
        <v>1658</v>
      </c>
      <c r="L48" s="173" t="s">
        <v>1638</v>
      </c>
    </row>
    <row r="49" spans="1:12" ht="43.5">
      <c r="A49" s="369"/>
      <c r="B49" s="338"/>
      <c r="C49" s="384"/>
      <c r="D49" s="350"/>
      <c r="E49" s="182" t="s">
        <v>955</v>
      </c>
      <c r="F49" s="201" t="s">
        <v>956</v>
      </c>
      <c r="G49" s="248"/>
      <c r="H49" s="248"/>
      <c r="I49" s="182" t="s">
        <v>760</v>
      </c>
      <c r="J49" s="248"/>
      <c r="K49" s="173" t="s">
        <v>1659</v>
      </c>
      <c r="L49" s="173" t="s">
        <v>1638</v>
      </c>
    </row>
    <row r="50" spans="1:12" ht="43.5">
      <c r="A50" s="369"/>
      <c r="B50" s="338"/>
      <c r="C50" s="384"/>
      <c r="D50" s="350"/>
      <c r="E50" s="182" t="s">
        <v>957</v>
      </c>
      <c r="F50" s="201" t="s">
        <v>958</v>
      </c>
      <c r="G50" s="249"/>
      <c r="H50" s="246"/>
      <c r="I50" s="246"/>
      <c r="J50" s="246"/>
      <c r="K50" s="173" t="s">
        <v>1655</v>
      </c>
      <c r="L50" s="173" t="s">
        <v>1656</v>
      </c>
    </row>
    <row r="51" spans="1:12" ht="43.5">
      <c r="A51" s="369"/>
      <c r="B51" s="338"/>
      <c r="C51" s="384"/>
      <c r="D51" s="350"/>
      <c r="E51" s="182" t="s">
        <v>959</v>
      </c>
      <c r="F51" s="201" t="s">
        <v>960</v>
      </c>
      <c r="G51" s="201"/>
      <c r="H51" s="203"/>
      <c r="I51" s="282" t="s">
        <v>759</v>
      </c>
      <c r="J51" s="10"/>
      <c r="K51" s="173" t="s">
        <v>1655</v>
      </c>
      <c r="L51" s="173" t="s">
        <v>1656</v>
      </c>
    </row>
    <row r="52" spans="1:12" ht="14.5">
      <c r="A52" s="369"/>
      <c r="B52" s="338"/>
      <c r="C52" s="384"/>
      <c r="D52" s="350"/>
      <c r="E52" s="182" t="s">
        <v>961</v>
      </c>
      <c r="F52" s="201" t="s">
        <v>962</v>
      </c>
      <c r="G52" s="201" t="s">
        <v>820</v>
      </c>
      <c r="H52" s="203" t="s">
        <v>820</v>
      </c>
      <c r="I52" s="203" t="s">
        <v>820</v>
      </c>
      <c r="J52" s="203" t="s">
        <v>963</v>
      </c>
      <c r="K52" s="173" t="s">
        <v>1651</v>
      </c>
    </row>
    <row r="53" spans="1:12" ht="14.5">
      <c r="A53" s="369"/>
      <c r="B53" s="338"/>
      <c r="C53" s="384"/>
      <c r="D53" s="350"/>
      <c r="E53" s="336" t="s">
        <v>964</v>
      </c>
      <c r="F53" s="201" t="s">
        <v>965</v>
      </c>
      <c r="G53" s="201" t="s">
        <v>820</v>
      </c>
      <c r="H53" s="203" t="s">
        <v>820</v>
      </c>
      <c r="I53" s="203" t="s">
        <v>820</v>
      </c>
      <c r="J53" s="10"/>
      <c r="K53" s="173" t="s">
        <v>1660</v>
      </c>
      <c r="L53" s="173" t="s">
        <v>1638</v>
      </c>
    </row>
    <row r="54" spans="1:12" ht="29">
      <c r="A54" s="369"/>
      <c r="B54" s="338"/>
      <c r="C54" s="384"/>
      <c r="D54" s="350"/>
      <c r="E54" s="336"/>
      <c r="F54" s="201" t="s">
        <v>966</v>
      </c>
      <c r="G54" s="201" t="s">
        <v>820</v>
      </c>
      <c r="H54" s="203" t="s">
        <v>820</v>
      </c>
      <c r="I54" s="203" t="s">
        <v>820</v>
      </c>
      <c r="J54" s="10"/>
      <c r="K54" s="173" t="s">
        <v>1655</v>
      </c>
      <c r="L54" s="173" t="s">
        <v>1656</v>
      </c>
    </row>
    <row r="55" spans="1:12" ht="14.5">
      <c r="A55" s="370"/>
      <c r="B55" s="338"/>
      <c r="C55" s="384"/>
      <c r="D55" s="351"/>
      <c r="E55" s="336"/>
      <c r="F55" s="201" t="s">
        <v>967</v>
      </c>
      <c r="G55" s="201" t="s">
        <v>820</v>
      </c>
      <c r="H55" s="203" t="s">
        <v>820</v>
      </c>
      <c r="I55" s="203" t="s">
        <v>820</v>
      </c>
      <c r="J55" s="10"/>
      <c r="K55" s="173" t="s">
        <v>1660</v>
      </c>
      <c r="L55" s="173" t="s">
        <v>1638</v>
      </c>
    </row>
    <row r="56" spans="1:12" ht="77.400000000000006" customHeight="1">
      <c r="A56" s="328">
        <v>4</v>
      </c>
      <c r="B56" s="296" t="s">
        <v>968</v>
      </c>
      <c r="C56" s="381" t="s">
        <v>969</v>
      </c>
      <c r="D56" s="290" t="s">
        <v>970</v>
      </c>
      <c r="E56" s="182" t="s">
        <v>971</v>
      </c>
      <c r="F56" s="201" t="s">
        <v>577</v>
      </c>
      <c r="G56" s="201" t="s">
        <v>820</v>
      </c>
      <c r="H56" s="203" t="s">
        <v>972</v>
      </c>
      <c r="I56" s="182" t="s">
        <v>973</v>
      </c>
      <c r="J56" s="182" t="s">
        <v>974</v>
      </c>
      <c r="K56" s="173" t="s">
        <v>1661</v>
      </c>
      <c r="L56" s="173" t="s">
        <v>1638</v>
      </c>
    </row>
    <row r="57" spans="1:12" ht="58.25" customHeight="1">
      <c r="A57" s="329"/>
      <c r="B57" s="297"/>
      <c r="C57" s="382"/>
      <c r="D57" s="290"/>
      <c r="E57" s="182" t="s">
        <v>975</v>
      </c>
      <c r="F57" s="201" t="s">
        <v>859</v>
      </c>
      <c r="G57" s="201" t="s">
        <v>820</v>
      </c>
      <c r="H57" s="203" t="s">
        <v>976</v>
      </c>
      <c r="I57" s="182" t="s">
        <v>977</v>
      </c>
      <c r="J57" s="10" t="s">
        <v>978</v>
      </c>
      <c r="K57" s="173" t="s">
        <v>1662</v>
      </c>
      <c r="L57" s="173" t="s">
        <v>1638</v>
      </c>
    </row>
    <row r="58" spans="1:12" ht="43.5">
      <c r="A58" s="329"/>
      <c r="B58" s="297"/>
      <c r="C58" s="382"/>
      <c r="D58" s="290"/>
      <c r="E58" s="336" t="s">
        <v>979</v>
      </c>
      <c r="F58" s="201" t="s">
        <v>980</v>
      </c>
      <c r="G58" s="201" t="s">
        <v>820</v>
      </c>
      <c r="H58" s="203" t="s">
        <v>981</v>
      </c>
      <c r="I58" s="182" t="s">
        <v>982</v>
      </c>
      <c r="J58" s="182" t="s">
        <v>983</v>
      </c>
      <c r="K58" s="173" t="s">
        <v>1662</v>
      </c>
      <c r="L58" s="173" t="s">
        <v>1638</v>
      </c>
    </row>
    <row r="59" spans="1:12" ht="56" customHeight="1">
      <c r="A59" s="329"/>
      <c r="B59" s="297"/>
      <c r="C59" s="382"/>
      <c r="D59" s="290"/>
      <c r="E59" s="336"/>
      <c r="F59" s="201" t="s">
        <v>984</v>
      </c>
      <c r="G59" s="201" t="s">
        <v>820</v>
      </c>
      <c r="H59" s="203" t="s">
        <v>985</v>
      </c>
      <c r="I59" s="182" t="s">
        <v>986</v>
      </c>
      <c r="J59" s="225" t="s">
        <v>987</v>
      </c>
      <c r="K59" s="173" t="s">
        <v>1662</v>
      </c>
      <c r="L59" s="173" t="s">
        <v>1638</v>
      </c>
    </row>
    <row r="60" spans="1:12" ht="51.75" customHeight="1">
      <c r="A60" s="329"/>
      <c r="B60" s="297"/>
      <c r="C60" s="382"/>
      <c r="D60" s="349" t="s">
        <v>988</v>
      </c>
      <c r="E60" s="182" t="s">
        <v>989</v>
      </c>
      <c r="F60" s="201" t="s">
        <v>990</v>
      </c>
      <c r="G60" s="201" t="s">
        <v>820</v>
      </c>
      <c r="H60" s="203" t="s">
        <v>991</v>
      </c>
      <c r="I60" s="203" t="s">
        <v>991</v>
      </c>
      <c r="J60" s="203" t="s">
        <v>991</v>
      </c>
    </row>
    <row r="61" spans="1:12" ht="36.65" customHeight="1">
      <c r="A61" s="329"/>
      <c r="B61" s="297"/>
      <c r="C61" s="382"/>
      <c r="D61" s="350"/>
      <c r="E61" s="182" t="s">
        <v>992</v>
      </c>
      <c r="F61" s="201" t="s">
        <v>993</v>
      </c>
      <c r="G61" s="201" t="s">
        <v>820</v>
      </c>
      <c r="H61" s="203" t="s">
        <v>994</v>
      </c>
      <c r="I61" s="10" t="s">
        <v>995</v>
      </c>
      <c r="J61" s="10" t="s">
        <v>996</v>
      </c>
      <c r="K61" s="173" t="s">
        <v>1662</v>
      </c>
      <c r="L61" s="173" t="s">
        <v>1638</v>
      </c>
    </row>
    <row r="62" spans="1:12" ht="72.75" customHeight="1">
      <c r="A62" s="329"/>
      <c r="B62" s="297"/>
      <c r="C62" s="382"/>
      <c r="D62" s="350"/>
      <c r="E62" s="182" t="s">
        <v>997</v>
      </c>
      <c r="F62" s="201" t="s">
        <v>998</v>
      </c>
      <c r="G62" s="201" t="s">
        <v>820</v>
      </c>
      <c r="H62" s="203" t="s">
        <v>999</v>
      </c>
      <c r="I62" s="182" t="s">
        <v>1000</v>
      </c>
      <c r="J62" s="182" t="s">
        <v>1001</v>
      </c>
      <c r="K62" s="173" t="s">
        <v>1663</v>
      </c>
      <c r="L62" s="173" t="s">
        <v>1638</v>
      </c>
    </row>
    <row r="63" spans="1:12" ht="59.4" customHeight="1">
      <c r="A63" s="329"/>
      <c r="B63" s="297"/>
      <c r="C63" s="382"/>
      <c r="D63" s="290" t="s">
        <v>272</v>
      </c>
      <c r="E63" s="182" t="s">
        <v>1002</v>
      </c>
      <c r="F63" s="201" t="s">
        <v>990</v>
      </c>
      <c r="G63" s="201" t="s">
        <v>820</v>
      </c>
      <c r="H63" s="201" t="s">
        <v>820</v>
      </c>
      <c r="I63" s="182" t="s">
        <v>1003</v>
      </c>
      <c r="J63" s="182" t="s">
        <v>1004</v>
      </c>
    </row>
    <row r="64" spans="1:12" ht="89" customHeight="1">
      <c r="A64" s="329"/>
      <c r="B64" s="297"/>
      <c r="C64" s="382"/>
      <c r="D64" s="290"/>
      <c r="E64" s="336" t="s">
        <v>1005</v>
      </c>
      <c r="F64" s="201" t="s">
        <v>291</v>
      </c>
      <c r="G64" s="201" t="s">
        <v>820</v>
      </c>
      <c r="H64" s="201" t="s">
        <v>820</v>
      </c>
      <c r="I64" s="182" t="s">
        <v>1006</v>
      </c>
      <c r="J64" s="10" t="s">
        <v>1007</v>
      </c>
      <c r="K64" s="173" t="s">
        <v>1664</v>
      </c>
      <c r="L64" s="173" t="s">
        <v>1638</v>
      </c>
    </row>
    <row r="65" spans="1:12" ht="156.75" customHeight="1">
      <c r="A65" s="329"/>
      <c r="B65" s="297"/>
      <c r="C65" s="382"/>
      <c r="D65" s="290" t="s">
        <v>1008</v>
      </c>
      <c r="E65" s="336"/>
      <c r="F65" s="201" t="s">
        <v>82</v>
      </c>
      <c r="G65" s="201" t="s">
        <v>820</v>
      </c>
      <c r="H65" s="201" t="s">
        <v>820</v>
      </c>
      <c r="I65" s="10" t="s">
        <v>1009</v>
      </c>
      <c r="J65" s="10" t="s">
        <v>1010</v>
      </c>
      <c r="K65" s="173" t="s">
        <v>1664</v>
      </c>
      <c r="L65" s="173" t="s">
        <v>1638</v>
      </c>
    </row>
    <row r="66" spans="1:12" ht="29">
      <c r="A66" s="329"/>
      <c r="B66" s="297"/>
      <c r="C66" s="382"/>
      <c r="D66" s="349" t="s">
        <v>1011</v>
      </c>
      <c r="E66" s="182" t="s">
        <v>1012</v>
      </c>
      <c r="F66" s="201" t="s">
        <v>1013</v>
      </c>
      <c r="G66" s="201" t="s">
        <v>820</v>
      </c>
      <c r="H66" s="201" t="s">
        <v>820</v>
      </c>
      <c r="I66" s="182" t="s">
        <v>1014</v>
      </c>
      <c r="J66" s="182" t="s">
        <v>1014</v>
      </c>
      <c r="K66" s="173" t="s">
        <v>1665</v>
      </c>
    </row>
    <row r="67" spans="1:12" ht="58.25" customHeight="1">
      <c r="A67" s="329"/>
      <c r="B67" s="297"/>
      <c r="C67" s="382"/>
      <c r="D67" s="350"/>
      <c r="E67" s="182" t="s">
        <v>1015</v>
      </c>
      <c r="F67" s="201" t="s">
        <v>859</v>
      </c>
      <c r="G67" s="201" t="s">
        <v>820</v>
      </c>
      <c r="H67" s="201" t="s">
        <v>820</v>
      </c>
      <c r="I67" s="182" t="s">
        <v>1016</v>
      </c>
      <c r="J67" s="182" t="s">
        <v>1017</v>
      </c>
      <c r="K67" s="173" t="s">
        <v>1666</v>
      </c>
    </row>
    <row r="68" spans="1:12" ht="66" customHeight="1">
      <c r="A68" s="329"/>
      <c r="B68" s="297"/>
      <c r="C68" s="382"/>
      <c r="D68" s="350"/>
      <c r="E68" s="336" t="s">
        <v>1018</v>
      </c>
      <c r="F68" s="201" t="s">
        <v>1019</v>
      </c>
      <c r="G68" s="201" t="s">
        <v>820</v>
      </c>
      <c r="H68" s="201" t="s">
        <v>820</v>
      </c>
      <c r="I68" s="201" t="s">
        <v>820</v>
      </c>
      <c r="J68" s="10" t="s">
        <v>1020</v>
      </c>
    </row>
    <row r="69" spans="1:12" ht="43.5">
      <c r="A69" s="329"/>
      <c r="B69" s="297"/>
      <c r="C69" s="382"/>
      <c r="D69" s="350"/>
      <c r="E69" s="336"/>
      <c r="F69" s="201" t="s">
        <v>1021</v>
      </c>
      <c r="G69" s="201" t="s">
        <v>820</v>
      </c>
      <c r="H69" s="201" t="s">
        <v>820</v>
      </c>
      <c r="I69" s="201" t="s">
        <v>820</v>
      </c>
      <c r="J69" s="10" t="s">
        <v>1022</v>
      </c>
    </row>
    <row r="70" spans="1:12" ht="70.5" customHeight="1">
      <c r="A70" s="330"/>
      <c r="B70" s="298"/>
      <c r="C70" s="383"/>
      <c r="D70" s="351"/>
      <c r="E70" s="336"/>
      <c r="F70" s="201" t="s">
        <v>823</v>
      </c>
      <c r="G70" s="201" t="s">
        <v>820</v>
      </c>
      <c r="H70" s="201" t="s">
        <v>820</v>
      </c>
      <c r="I70" s="10" t="s">
        <v>1023</v>
      </c>
      <c r="J70" s="10" t="s">
        <v>1024</v>
      </c>
    </row>
    <row r="71" spans="1:12" ht="58">
      <c r="A71" s="328">
        <v>5</v>
      </c>
      <c r="B71" s="296" t="s">
        <v>1025</v>
      </c>
      <c r="C71" s="371" t="s">
        <v>1026</v>
      </c>
      <c r="D71" s="290" t="s">
        <v>1027</v>
      </c>
      <c r="E71" s="182" t="s">
        <v>1028</v>
      </c>
      <c r="F71" s="201" t="s">
        <v>87</v>
      </c>
      <c r="G71" s="182" t="s">
        <v>1029</v>
      </c>
      <c r="H71" s="201" t="s">
        <v>820</v>
      </c>
      <c r="I71" s="201" t="s">
        <v>820</v>
      </c>
      <c r="J71" s="10" t="s">
        <v>889</v>
      </c>
    </row>
    <row r="72" spans="1:12" ht="43.5">
      <c r="A72" s="329"/>
      <c r="B72" s="297"/>
      <c r="C72" s="372"/>
      <c r="D72" s="290"/>
      <c r="E72" s="182" t="s">
        <v>1030</v>
      </c>
      <c r="F72" s="201" t="s">
        <v>1031</v>
      </c>
      <c r="G72" s="182" t="s">
        <v>1032</v>
      </c>
      <c r="H72" s="201" t="s">
        <v>820</v>
      </c>
      <c r="I72" s="201" t="s">
        <v>820</v>
      </c>
      <c r="J72" s="10" t="s">
        <v>889</v>
      </c>
    </row>
    <row r="73" spans="1:12" ht="57.65" customHeight="1">
      <c r="A73" s="329"/>
      <c r="B73" s="297"/>
      <c r="C73" s="372"/>
      <c r="D73" s="290"/>
      <c r="E73" s="182" t="s">
        <v>1033</v>
      </c>
      <c r="F73" s="201" t="s">
        <v>28</v>
      </c>
      <c r="G73" s="143">
        <v>30</v>
      </c>
      <c r="H73" s="201" t="s">
        <v>820</v>
      </c>
      <c r="I73" s="201" t="s">
        <v>820</v>
      </c>
      <c r="J73" s="10" t="s">
        <v>889</v>
      </c>
    </row>
    <row r="74" spans="1:12" ht="57.65" customHeight="1">
      <c r="A74" s="329"/>
      <c r="B74" s="297"/>
      <c r="C74" s="372"/>
      <c r="D74" s="290" t="s">
        <v>95</v>
      </c>
      <c r="E74" s="343" t="s">
        <v>1034</v>
      </c>
      <c r="F74" s="201" t="s">
        <v>100</v>
      </c>
      <c r="G74" s="201" t="s">
        <v>1035</v>
      </c>
      <c r="H74" s="203" t="s">
        <v>1036</v>
      </c>
      <c r="I74" s="201" t="s">
        <v>1037</v>
      </c>
      <c r="J74" s="182" t="s">
        <v>1038</v>
      </c>
    </row>
    <row r="75" spans="1:12" ht="57.65" customHeight="1">
      <c r="A75" s="329"/>
      <c r="B75" s="297"/>
      <c r="C75" s="372"/>
      <c r="D75" s="290"/>
      <c r="E75" s="345"/>
      <c r="F75" s="201" t="s">
        <v>82</v>
      </c>
      <c r="G75" s="201" t="s">
        <v>1039</v>
      </c>
      <c r="H75" s="203" t="s">
        <v>1040</v>
      </c>
      <c r="I75" s="201" t="s">
        <v>1041</v>
      </c>
      <c r="J75" s="182" t="s">
        <v>1042</v>
      </c>
    </row>
    <row r="76" spans="1:12" ht="58">
      <c r="A76" s="329"/>
      <c r="B76" s="297"/>
      <c r="C76" s="372"/>
      <c r="D76" s="290"/>
      <c r="E76" s="182" t="s">
        <v>1043</v>
      </c>
      <c r="F76" s="201" t="s">
        <v>102</v>
      </c>
      <c r="G76" s="201">
        <v>10</v>
      </c>
      <c r="H76" s="203">
        <v>4</v>
      </c>
      <c r="I76" s="201">
        <v>3</v>
      </c>
      <c r="J76" s="201">
        <v>3</v>
      </c>
    </row>
    <row r="77" spans="1:12" ht="39">
      <c r="A77" s="329"/>
      <c r="B77" s="297"/>
      <c r="C77" s="372"/>
      <c r="D77" s="349" t="s">
        <v>1044</v>
      </c>
      <c r="E77" s="192" t="s">
        <v>1045</v>
      </c>
      <c r="F77" s="201" t="s">
        <v>1046</v>
      </c>
      <c r="G77" s="201" t="s">
        <v>820</v>
      </c>
      <c r="H77" s="201" t="s">
        <v>820</v>
      </c>
      <c r="I77" s="201" t="s">
        <v>820</v>
      </c>
      <c r="J77" s="10" t="s">
        <v>1047</v>
      </c>
    </row>
    <row r="78" spans="1:12" ht="29" customHeight="1">
      <c r="A78" s="329"/>
      <c r="B78" s="297"/>
      <c r="C78" s="372"/>
      <c r="D78" s="350"/>
      <c r="E78" s="343" t="s">
        <v>1048</v>
      </c>
      <c r="F78" s="201" t="s">
        <v>1049</v>
      </c>
      <c r="G78" s="201" t="s">
        <v>820</v>
      </c>
      <c r="H78" s="201" t="s">
        <v>820</v>
      </c>
      <c r="I78" s="201" t="s">
        <v>820</v>
      </c>
      <c r="J78" s="10" t="s">
        <v>889</v>
      </c>
    </row>
    <row r="79" spans="1:12" ht="29" customHeight="1">
      <c r="A79" s="329"/>
      <c r="B79" s="297"/>
      <c r="C79" s="372"/>
      <c r="D79" s="351"/>
      <c r="E79" s="345"/>
      <c r="F79" s="201" t="s">
        <v>1050</v>
      </c>
      <c r="G79" s="201" t="s">
        <v>820</v>
      </c>
      <c r="H79" s="201" t="s">
        <v>820</v>
      </c>
      <c r="I79" s="201" t="s">
        <v>820</v>
      </c>
      <c r="J79" s="10" t="s">
        <v>889</v>
      </c>
    </row>
    <row r="80" spans="1:12" ht="29" customHeight="1">
      <c r="A80" s="329"/>
      <c r="B80" s="297"/>
      <c r="C80" s="372"/>
      <c r="D80" s="349" t="s">
        <v>1051</v>
      </c>
      <c r="E80" s="182" t="s">
        <v>1052</v>
      </c>
      <c r="F80" s="201" t="s">
        <v>1053</v>
      </c>
      <c r="G80" s="182"/>
      <c r="H80" s="10"/>
      <c r="I80" s="182" t="s">
        <v>1054</v>
      </c>
      <c r="J80" s="182" t="s">
        <v>1055</v>
      </c>
    </row>
    <row r="81" spans="1:10" ht="61.5" customHeight="1">
      <c r="A81" s="329"/>
      <c r="B81" s="297"/>
      <c r="C81" s="372"/>
      <c r="D81" s="350"/>
      <c r="E81" s="343" t="s">
        <v>1056</v>
      </c>
      <c r="F81" s="201" t="s">
        <v>1057</v>
      </c>
      <c r="G81" s="227"/>
      <c r="H81" s="227"/>
      <c r="I81" s="226" t="s">
        <v>820</v>
      </c>
      <c r="J81" s="226">
        <v>10</v>
      </c>
    </row>
    <row r="82" spans="1:10" ht="29" customHeight="1">
      <c r="A82" s="329"/>
      <c r="B82" s="297"/>
      <c r="C82" s="372"/>
      <c r="D82" s="350"/>
      <c r="E82" s="345"/>
      <c r="F82" s="201" t="s">
        <v>823</v>
      </c>
      <c r="G82" s="227">
        <v>609</v>
      </c>
      <c r="H82" s="227"/>
      <c r="I82" s="226" t="s">
        <v>820</v>
      </c>
      <c r="J82" s="226">
        <v>234</v>
      </c>
    </row>
    <row r="83" spans="1:10" ht="29" customHeight="1">
      <c r="A83" s="329"/>
      <c r="B83" s="297"/>
      <c r="C83" s="372"/>
      <c r="D83" s="350"/>
      <c r="E83" s="343" t="s">
        <v>1058</v>
      </c>
      <c r="F83" s="201" t="s">
        <v>823</v>
      </c>
      <c r="G83" s="227">
        <v>609</v>
      </c>
      <c r="H83" s="227"/>
      <c r="I83" s="226" t="s">
        <v>820</v>
      </c>
      <c r="J83" s="226">
        <v>66</v>
      </c>
    </row>
    <row r="84" spans="1:10" ht="29" customHeight="1">
      <c r="A84" s="329"/>
      <c r="B84" s="297"/>
      <c r="C84" s="372"/>
      <c r="D84" s="350"/>
      <c r="E84" s="344"/>
      <c r="F84" s="201" t="s">
        <v>1059</v>
      </c>
      <c r="G84" s="226">
        <v>30</v>
      </c>
      <c r="H84" s="226">
        <v>4</v>
      </c>
      <c r="I84" s="226" t="s">
        <v>820</v>
      </c>
      <c r="J84" s="226">
        <v>3</v>
      </c>
    </row>
    <row r="85" spans="1:10" ht="29" customHeight="1">
      <c r="A85" s="329"/>
      <c r="B85" s="297"/>
      <c r="C85" s="372"/>
      <c r="D85" s="351"/>
      <c r="E85" s="345"/>
      <c r="F85" s="201" t="s">
        <v>1060</v>
      </c>
      <c r="G85" s="226">
        <v>10</v>
      </c>
      <c r="H85" s="226">
        <v>4</v>
      </c>
      <c r="I85" s="226" t="s">
        <v>820</v>
      </c>
      <c r="J85" s="226">
        <v>3</v>
      </c>
    </row>
    <row r="86" spans="1:10" ht="59.25" customHeight="1">
      <c r="A86" s="329"/>
      <c r="B86" s="297"/>
      <c r="C86" s="372"/>
      <c r="D86" s="349" t="s">
        <v>1061</v>
      </c>
      <c r="E86" s="343" t="s">
        <v>1062</v>
      </c>
      <c r="F86" s="201" t="s">
        <v>1063</v>
      </c>
      <c r="G86" s="228" t="s">
        <v>820</v>
      </c>
      <c r="H86" s="226">
        <v>52</v>
      </c>
      <c r="I86" s="229" t="s">
        <v>742</v>
      </c>
      <c r="J86" s="226">
        <v>61</v>
      </c>
    </row>
    <row r="87" spans="1:10" ht="29" customHeight="1">
      <c r="A87" s="329"/>
      <c r="B87" s="297"/>
      <c r="C87" s="372"/>
      <c r="D87" s="350"/>
      <c r="E87" s="345"/>
      <c r="F87" s="201" t="s">
        <v>82</v>
      </c>
      <c r="G87" s="228" t="s">
        <v>820</v>
      </c>
      <c r="H87" s="226">
        <v>2854</v>
      </c>
      <c r="I87" s="228">
        <v>1357</v>
      </c>
      <c r="J87" s="226">
        <v>771</v>
      </c>
    </row>
    <row r="88" spans="1:10" ht="29" customHeight="1">
      <c r="A88" s="329"/>
      <c r="B88" s="297"/>
      <c r="C88" s="372"/>
      <c r="D88" s="350"/>
      <c r="E88" s="343" t="s">
        <v>1064</v>
      </c>
      <c r="F88" s="201" t="s">
        <v>1065</v>
      </c>
      <c r="G88" s="198" t="s">
        <v>820</v>
      </c>
      <c r="H88" s="198">
        <v>3</v>
      </c>
      <c r="I88" s="198">
        <v>3</v>
      </c>
      <c r="J88" s="215"/>
    </row>
    <row r="89" spans="1:10" ht="43.5">
      <c r="A89" s="329"/>
      <c r="B89" s="297"/>
      <c r="C89" s="372"/>
      <c r="D89" s="350"/>
      <c r="E89" s="344"/>
      <c r="F89" s="201" t="s">
        <v>1066</v>
      </c>
      <c r="G89" s="198" t="s">
        <v>820</v>
      </c>
      <c r="H89" s="198">
        <v>159</v>
      </c>
      <c r="I89" s="198">
        <f>23+64+72</f>
        <v>159</v>
      </c>
      <c r="J89" s="215"/>
    </row>
    <row r="90" spans="1:10" ht="29">
      <c r="A90" s="329"/>
      <c r="B90" s="297"/>
      <c r="C90" s="372"/>
      <c r="D90" s="350"/>
      <c r="E90" s="344"/>
      <c r="F90" s="201" t="s">
        <v>1067</v>
      </c>
      <c r="G90" s="198" t="s">
        <v>820</v>
      </c>
      <c r="H90" s="198">
        <f>4+7+10+6+14+11</f>
        <v>52</v>
      </c>
      <c r="I90" s="226">
        <v>87</v>
      </c>
      <c r="J90" s="215"/>
    </row>
    <row r="91" spans="1:10" ht="29">
      <c r="A91" s="329"/>
      <c r="B91" s="297"/>
      <c r="C91" s="372"/>
      <c r="D91" s="350"/>
      <c r="E91" s="344"/>
      <c r="F91" s="201" t="s">
        <v>1068</v>
      </c>
      <c r="G91" s="198" t="s">
        <v>820</v>
      </c>
      <c r="H91" s="198">
        <f>4+7+10</f>
        <v>21</v>
      </c>
      <c r="I91" s="226">
        <v>47</v>
      </c>
      <c r="J91" s="215"/>
    </row>
    <row r="92" spans="1:10" ht="29" customHeight="1">
      <c r="A92" s="329"/>
      <c r="B92" s="297"/>
      <c r="C92" s="372"/>
      <c r="D92" s="351"/>
      <c r="E92" s="345"/>
      <c r="F92" s="201" t="s">
        <v>1069</v>
      </c>
      <c r="G92" s="198" t="s">
        <v>820</v>
      </c>
      <c r="H92" s="198">
        <f>23+64+72</f>
        <v>159</v>
      </c>
      <c r="I92" s="198">
        <f>23+64+72</f>
        <v>159</v>
      </c>
      <c r="J92" s="215"/>
    </row>
    <row r="93" spans="1:10" ht="29" customHeight="1">
      <c r="A93" s="329"/>
      <c r="B93" s="297"/>
      <c r="C93" s="372"/>
      <c r="D93" s="349" t="s">
        <v>1070</v>
      </c>
      <c r="E93" s="343" t="s">
        <v>1071</v>
      </c>
      <c r="F93" s="201" t="s">
        <v>1072</v>
      </c>
      <c r="G93" s="198" t="s">
        <v>820</v>
      </c>
      <c r="H93" s="203">
        <v>6</v>
      </c>
      <c r="I93" s="215"/>
      <c r="J93" s="215"/>
    </row>
    <row r="94" spans="1:10" ht="29" customHeight="1">
      <c r="A94" s="329"/>
      <c r="B94" s="297"/>
      <c r="C94" s="372"/>
      <c r="D94" s="351"/>
      <c r="E94" s="345"/>
      <c r="F94" s="201" t="s">
        <v>1073</v>
      </c>
      <c r="G94" s="198" t="s">
        <v>820</v>
      </c>
      <c r="H94" s="228"/>
      <c r="I94" s="228"/>
      <c r="J94" s="215"/>
    </row>
    <row r="95" spans="1:10" ht="14.5">
      <c r="A95" s="329"/>
      <c r="B95" s="297"/>
      <c r="C95" s="372"/>
      <c r="D95" s="349" t="s">
        <v>1074</v>
      </c>
      <c r="E95" s="188" t="s">
        <v>1075</v>
      </c>
      <c r="F95" s="201" t="s">
        <v>1076</v>
      </c>
      <c r="G95" s="198" t="s">
        <v>820</v>
      </c>
      <c r="H95" s="198" t="s">
        <v>820</v>
      </c>
      <c r="I95" s="198" t="s">
        <v>820</v>
      </c>
      <c r="J95" s="10" t="s">
        <v>889</v>
      </c>
    </row>
    <row r="96" spans="1:10" ht="29">
      <c r="A96" s="329"/>
      <c r="B96" s="297"/>
      <c r="C96" s="372"/>
      <c r="D96" s="350"/>
      <c r="E96" s="188" t="s">
        <v>1077</v>
      </c>
      <c r="F96" s="201" t="s">
        <v>334</v>
      </c>
      <c r="G96" s="198" t="s">
        <v>820</v>
      </c>
      <c r="H96" s="198" t="s">
        <v>820</v>
      </c>
      <c r="I96" s="198" t="s">
        <v>820</v>
      </c>
      <c r="J96" s="10" t="s">
        <v>889</v>
      </c>
    </row>
    <row r="97" spans="1:10" ht="29">
      <c r="A97" s="329"/>
      <c r="B97" s="297"/>
      <c r="C97" s="372"/>
      <c r="D97" s="350"/>
      <c r="E97" s="188" t="s">
        <v>1078</v>
      </c>
      <c r="F97" s="201" t="s">
        <v>1079</v>
      </c>
      <c r="G97" s="198" t="s">
        <v>820</v>
      </c>
      <c r="H97" s="198" t="s">
        <v>820</v>
      </c>
      <c r="I97" s="198" t="s">
        <v>820</v>
      </c>
      <c r="J97" s="10" t="s">
        <v>889</v>
      </c>
    </row>
    <row r="98" spans="1:10" ht="14.5">
      <c r="A98" s="330"/>
      <c r="B98" s="298"/>
      <c r="C98" s="373"/>
      <c r="D98" s="351"/>
      <c r="E98" s="188" t="s">
        <v>1080</v>
      </c>
      <c r="F98" s="201" t="s">
        <v>1081</v>
      </c>
      <c r="G98" s="198" t="s">
        <v>820</v>
      </c>
      <c r="H98" s="198" t="s">
        <v>820</v>
      </c>
      <c r="I98" s="198" t="s">
        <v>820</v>
      </c>
      <c r="J98" s="10" t="s">
        <v>889</v>
      </c>
    </row>
    <row r="99" spans="1:10" ht="43.25" customHeight="1">
      <c r="A99" s="328">
        <v>6</v>
      </c>
      <c r="B99" s="296" t="s">
        <v>1082</v>
      </c>
      <c r="C99" s="362" t="s">
        <v>1083</v>
      </c>
      <c r="D99" s="349" t="s">
        <v>521</v>
      </c>
      <c r="E99" s="366" t="s">
        <v>1084</v>
      </c>
      <c r="F99" s="201" t="s">
        <v>200</v>
      </c>
      <c r="G99" s="201">
        <v>30</v>
      </c>
      <c r="H99" s="201">
        <v>8</v>
      </c>
      <c r="I99" s="203">
        <v>3</v>
      </c>
      <c r="J99" s="203">
        <v>3</v>
      </c>
    </row>
    <row r="100" spans="1:10" ht="29" customHeight="1">
      <c r="A100" s="329"/>
      <c r="B100" s="297"/>
      <c r="C100" s="363"/>
      <c r="D100" s="350"/>
      <c r="E100" s="367"/>
      <c r="F100" s="201" t="s">
        <v>1085</v>
      </c>
      <c r="G100" s="201">
        <v>2</v>
      </c>
      <c r="H100" s="201">
        <v>1</v>
      </c>
      <c r="I100" s="203">
        <v>3</v>
      </c>
      <c r="J100" s="203">
        <v>6</v>
      </c>
    </row>
    <row r="101" spans="1:10" ht="75" customHeight="1">
      <c r="A101" s="329"/>
      <c r="B101" s="297"/>
      <c r="C101" s="363"/>
      <c r="D101" s="350"/>
      <c r="E101" s="366" t="s">
        <v>1086</v>
      </c>
      <c r="F101" s="201" t="s">
        <v>1087</v>
      </c>
      <c r="G101" s="201">
        <v>6</v>
      </c>
      <c r="H101" s="201">
        <v>6</v>
      </c>
      <c r="I101" s="201">
        <v>13</v>
      </c>
      <c r="J101" s="201">
        <v>2</v>
      </c>
    </row>
    <row r="102" spans="1:10" ht="29" customHeight="1">
      <c r="A102" s="329"/>
      <c r="B102" s="297"/>
      <c r="C102" s="363"/>
      <c r="D102" s="350"/>
      <c r="E102" s="367"/>
      <c r="F102" s="201" t="s">
        <v>1088</v>
      </c>
      <c r="G102" s="201">
        <v>4</v>
      </c>
      <c r="H102" s="201">
        <v>5</v>
      </c>
      <c r="I102" s="201">
        <v>6</v>
      </c>
      <c r="J102" s="201">
        <v>2</v>
      </c>
    </row>
    <row r="103" spans="1:10" ht="43.5">
      <c r="A103" s="329"/>
      <c r="B103" s="297"/>
      <c r="C103" s="363"/>
      <c r="D103" s="350"/>
      <c r="E103" s="188" t="s">
        <v>1089</v>
      </c>
      <c r="F103" s="201" t="s">
        <v>1090</v>
      </c>
      <c r="G103" s="201">
        <v>2</v>
      </c>
      <c r="H103" s="201">
        <v>1</v>
      </c>
      <c r="I103" s="203">
        <v>1</v>
      </c>
      <c r="J103" s="203">
        <v>4</v>
      </c>
    </row>
    <row r="104" spans="1:10" ht="73.25" customHeight="1">
      <c r="A104" s="329"/>
      <c r="B104" s="297"/>
      <c r="C104" s="363"/>
      <c r="D104" s="350"/>
      <c r="E104" s="188" t="s">
        <v>1091</v>
      </c>
      <c r="F104" s="211" t="s">
        <v>82</v>
      </c>
      <c r="G104" s="201">
        <v>254</v>
      </c>
      <c r="H104" s="201" t="s">
        <v>1092</v>
      </c>
      <c r="I104" s="188" t="s">
        <v>1093</v>
      </c>
      <c r="J104" s="10" t="s">
        <v>1094</v>
      </c>
    </row>
    <row r="105" spans="1:10" ht="63.65" customHeight="1">
      <c r="A105" s="329"/>
      <c r="B105" s="297"/>
      <c r="C105" s="363"/>
      <c r="D105" s="350"/>
      <c r="E105" s="343" t="s">
        <v>1095</v>
      </c>
      <c r="F105" s="211" t="s">
        <v>557</v>
      </c>
      <c r="G105" s="201" t="s">
        <v>820</v>
      </c>
      <c r="H105" s="201" t="s">
        <v>820</v>
      </c>
      <c r="I105" s="203" t="s">
        <v>820</v>
      </c>
      <c r="J105" s="203" t="s">
        <v>820</v>
      </c>
    </row>
    <row r="106" spans="1:10" ht="29" customHeight="1">
      <c r="A106" s="329"/>
      <c r="B106" s="297"/>
      <c r="C106" s="363"/>
      <c r="D106" s="350"/>
      <c r="E106" s="344"/>
      <c r="F106" s="211" t="s">
        <v>1096</v>
      </c>
      <c r="G106" s="201" t="s">
        <v>820</v>
      </c>
      <c r="H106" s="201" t="s">
        <v>820</v>
      </c>
      <c r="I106" s="203" t="s">
        <v>820</v>
      </c>
      <c r="J106" s="203" t="s">
        <v>820</v>
      </c>
    </row>
    <row r="107" spans="1:10" ht="29" customHeight="1">
      <c r="A107" s="329"/>
      <c r="B107" s="297"/>
      <c r="C107" s="363"/>
      <c r="D107" s="351"/>
      <c r="E107" s="345"/>
      <c r="F107" s="211" t="s">
        <v>36</v>
      </c>
      <c r="G107" s="201" t="s">
        <v>820</v>
      </c>
      <c r="H107" s="203" t="s">
        <v>820</v>
      </c>
      <c r="I107" s="203" t="s">
        <v>820</v>
      </c>
      <c r="J107" s="203" t="s">
        <v>820</v>
      </c>
    </row>
    <row r="108" spans="1:10" ht="130.5" customHeight="1">
      <c r="A108" s="329"/>
      <c r="B108" s="297"/>
      <c r="C108" s="363"/>
      <c r="D108" s="191" t="s">
        <v>618</v>
      </c>
      <c r="E108" s="182" t="s">
        <v>1097</v>
      </c>
      <c r="F108" s="201" t="s">
        <v>55</v>
      </c>
      <c r="G108" s="201" t="s">
        <v>820</v>
      </c>
      <c r="H108" s="203" t="s">
        <v>820</v>
      </c>
      <c r="I108" s="182" t="s">
        <v>1098</v>
      </c>
      <c r="J108" s="10" t="s">
        <v>1099</v>
      </c>
    </row>
    <row r="109" spans="1:10" ht="63" customHeight="1">
      <c r="A109" s="329"/>
      <c r="B109" s="297"/>
      <c r="C109" s="363"/>
      <c r="D109" s="364" t="s">
        <v>1100</v>
      </c>
      <c r="E109" s="182" t="s">
        <v>1101</v>
      </c>
      <c r="F109" s="201" t="s">
        <v>1102</v>
      </c>
      <c r="G109" s="201" t="s">
        <v>820</v>
      </c>
      <c r="H109" s="203" t="s">
        <v>820</v>
      </c>
      <c r="I109" s="203" t="s">
        <v>820</v>
      </c>
      <c r="J109" s="12" t="s">
        <v>1103</v>
      </c>
    </row>
    <row r="110" spans="1:10" ht="55.5" customHeight="1">
      <c r="A110" s="329"/>
      <c r="B110" s="297"/>
      <c r="C110" s="363"/>
      <c r="D110" s="365"/>
      <c r="E110" s="182" t="s">
        <v>1104</v>
      </c>
      <c r="F110" s="201" t="s">
        <v>1105</v>
      </c>
      <c r="G110" s="201" t="s">
        <v>820</v>
      </c>
      <c r="H110" s="203" t="s">
        <v>820</v>
      </c>
      <c r="I110" s="203" t="s">
        <v>820</v>
      </c>
      <c r="J110" s="182" t="s">
        <v>1106</v>
      </c>
    </row>
    <row r="111" spans="1:10" ht="29" customHeight="1">
      <c r="A111" s="329"/>
      <c r="B111" s="297"/>
      <c r="C111" s="363"/>
      <c r="D111" s="365"/>
      <c r="E111" s="182" t="s">
        <v>1107</v>
      </c>
      <c r="F111" s="201" t="s">
        <v>1108</v>
      </c>
      <c r="G111" s="201" t="s">
        <v>820</v>
      </c>
      <c r="H111" s="203" t="s">
        <v>820</v>
      </c>
      <c r="I111" s="203" t="s">
        <v>820</v>
      </c>
      <c r="J111" s="10" t="s">
        <v>1109</v>
      </c>
    </row>
    <row r="112" spans="1:10" ht="92.25" customHeight="1">
      <c r="A112" s="357">
        <v>7</v>
      </c>
      <c r="B112" s="338" t="s">
        <v>1110</v>
      </c>
      <c r="C112" s="361" t="s">
        <v>1111</v>
      </c>
      <c r="D112" s="290" t="s">
        <v>1112</v>
      </c>
      <c r="E112" s="343" t="s">
        <v>1113</v>
      </c>
      <c r="F112" s="201" t="s">
        <v>1114</v>
      </c>
      <c r="G112" s="201" t="s">
        <v>820</v>
      </c>
      <c r="H112" s="203" t="s">
        <v>1115</v>
      </c>
      <c r="I112" s="182" t="s">
        <v>1116</v>
      </c>
      <c r="J112" s="10" t="s">
        <v>1117</v>
      </c>
    </row>
    <row r="113" spans="1:10" ht="29" customHeight="1">
      <c r="A113" s="357"/>
      <c r="B113" s="338"/>
      <c r="C113" s="361"/>
      <c r="D113" s="290"/>
      <c r="E113" s="345"/>
      <c r="F113" s="201" t="s">
        <v>1118</v>
      </c>
      <c r="G113" s="201" t="s">
        <v>820</v>
      </c>
      <c r="H113" s="201" t="s">
        <v>820</v>
      </c>
      <c r="I113" s="201" t="s">
        <v>820</v>
      </c>
      <c r="J113" s="201" t="s">
        <v>889</v>
      </c>
    </row>
    <row r="114" spans="1:10" ht="38.25" customHeight="1">
      <c r="A114" s="357"/>
      <c r="B114" s="338"/>
      <c r="C114" s="361"/>
      <c r="D114" s="290"/>
      <c r="E114" s="343" t="s">
        <v>1119</v>
      </c>
      <c r="F114" s="201" t="s">
        <v>1120</v>
      </c>
      <c r="G114" s="201" t="s">
        <v>820</v>
      </c>
      <c r="H114" s="216">
        <v>55</v>
      </c>
      <c r="I114" s="216">
        <v>25</v>
      </c>
      <c r="J114" s="216">
        <v>1</v>
      </c>
    </row>
    <row r="115" spans="1:10" ht="29" customHeight="1">
      <c r="A115" s="357"/>
      <c r="B115" s="338"/>
      <c r="C115" s="361"/>
      <c r="D115" s="290"/>
      <c r="E115" s="344"/>
      <c r="F115" s="201" t="s">
        <v>1121</v>
      </c>
      <c r="G115" s="201" t="s">
        <v>820</v>
      </c>
      <c r="H115" s="216" t="s">
        <v>820</v>
      </c>
      <c r="I115" s="216" t="s">
        <v>820</v>
      </c>
      <c r="J115" s="216" t="s">
        <v>820</v>
      </c>
    </row>
    <row r="116" spans="1:10" ht="29" customHeight="1">
      <c r="A116" s="357"/>
      <c r="B116" s="338"/>
      <c r="C116" s="361"/>
      <c r="D116" s="290"/>
      <c r="E116" s="344"/>
      <c r="F116" s="201" t="s">
        <v>1122</v>
      </c>
      <c r="G116" s="201" t="s">
        <v>820</v>
      </c>
      <c r="H116" s="216" t="s">
        <v>820</v>
      </c>
      <c r="I116" s="216" t="s">
        <v>820</v>
      </c>
      <c r="J116" s="201" t="s">
        <v>889</v>
      </c>
    </row>
    <row r="117" spans="1:10" ht="43.5">
      <c r="A117" s="357"/>
      <c r="B117" s="338"/>
      <c r="C117" s="361"/>
      <c r="D117" s="290"/>
      <c r="E117" s="345"/>
      <c r="F117" s="201" t="s">
        <v>1123</v>
      </c>
      <c r="G117" s="201" t="s">
        <v>820</v>
      </c>
      <c r="H117" s="216" t="s">
        <v>820</v>
      </c>
      <c r="I117" s="216" t="s">
        <v>820</v>
      </c>
      <c r="J117" s="201" t="s">
        <v>889</v>
      </c>
    </row>
    <row r="118" spans="1:10" ht="29">
      <c r="A118" s="357"/>
      <c r="B118" s="338"/>
      <c r="C118" s="361"/>
      <c r="D118" s="290"/>
      <c r="E118" s="181" t="s">
        <v>1124</v>
      </c>
      <c r="F118" s="201" t="s">
        <v>1125</v>
      </c>
      <c r="G118" s="201" t="s">
        <v>820</v>
      </c>
      <c r="H118" s="203" t="s">
        <v>1126</v>
      </c>
      <c r="I118" s="203" t="s">
        <v>1127</v>
      </c>
      <c r="J118" s="203" t="s">
        <v>1127</v>
      </c>
    </row>
    <row r="119" spans="1:10" ht="58">
      <c r="A119" s="357"/>
      <c r="B119" s="338"/>
      <c r="C119" s="361"/>
      <c r="D119" s="290" t="s">
        <v>1128</v>
      </c>
      <c r="E119" s="181" t="s">
        <v>1129</v>
      </c>
      <c r="F119" s="201" t="s">
        <v>1130</v>
      </c>
      <c r="G119" s="201" t="s">
        <v>820</v>
      </c>
      <c r="H119" s="201" t="s">
        <v>820</v>
      </c>
      <c r="I119" s="182" t="s">
        <v>1131</v>
      </c>
      <c r="J119" s="10" t="s">
        <v>1132</v>
      </c>
    </row>
    <row r="120" spans="1:10" ht="99.75" customHeight="1">
      <c r="A120" s="357"/>
      <c r="B120" s="338"/>
      <c r="C120" s="361"/>
      <c r="D120" s="290"/>
      <c r="E120" s="343" t="s">
        <v>1133</v>
      </c>
      <c r="F120" s="201" t="s">
        <v>1134</v>
      </c>
      <c r="G120" s="201" t="s">
        <v>820</v>
      </c>
      <c r="H120" s="201" t="s">
        <v>820</v>
      </c>
      <c r="I120" s="182" t="s">
        <v>1135</v>
      </c>
      <c r="J120" s="10" t="s">
        <v>1132</v>
      </c>
    </row>
    <row r="121" spans="1:10" ht="29" customHeight="1">
      <c r="A121" s="357"/>
      <c r="B121" s="338"/>
      <c r="C121" s="361"/>
      <c r="D121" s="290"/>
      <c r="E121" s="344"/>
      <c r="F121" s="201" t="s">
        <v>1136</v>
      </c>
      <c r="G121" s="201" t="s">
        <v>820</v>
      </c>
      <c r="H121" s="201" t="s">
        <v>820</v>
      </c>
      <c r="I121" s="203" t="s">
        <v>1137</v>
      </c>
      <c r="J121" s="10" t="s">
        <v>1132</v>
      </c>
    </row>
    <row r="122" spans="1:10" ht="29" customHeight="1">
      <c r="A122" s="357"/>
      <c r="B122" s="338"/>
      <c r="C122" s="361"/>
      <c r="D122" s="290"/>
      <c r="E122" s="344"/>
      <c r="F122" s="201" t="s">
        <v>1138</v>
      </c>
      <c r="G122" s="201" t="s">
        <v>820</v>
      </c>
      <c r="H122" s="201" t="s">
        <v>820</v>
      </c>
      <c r="I122" s="203">
        <v>2</v>
      </c>
      <c r="J122" s="10" t="s">
        <v>1132</v>
      </c>
    </row>
    <row r="123" spans="1:10" ht="29" customHeight="1">
      <c r="A123" s="357"/>
      <c r="B123" s="338"/>
      <c r="C123" s="361"/>
      <c r="D123" s="290"/>
      <c r="E123" s="344"/>
      <c r="F123" s="201" t="s">
        <v>1139</v>
      </c>
      <c r="G123" s="201" t="s">
        <v>820</v>
      </c>
      <c r="H123" s="201" t="s">
        <v>820</v>
      </c>
      <c r="I123" s="203" t="s">
        <v>1140</v>
      </c>
      <c r="J123" s="10" t="s">
        <v>1132</v>
      </c>
    </row>
    <row r="124" spans="1:10" ht="29" customHeight="1">
      <c r="A124" s="357"/>
      <c r="B124" s="338"/>
      <c r="C124" s="361"/>
      <c r="D124" s="290"/>
      <c r="E124" s="344"/>
      <c r="F124" s="201" t="s">
        <v>1141</v>
      </c>
      <c r="G124" s="201" t="s">
        <v>820</v>
      </c>
      <c r="H124" s="201" t="s">
        <v>820</v>
      </c>
      <c r="I124" s="203" t="s">
        <v>820</v>
      </c>
      <c r="J124" s="10" t="s">
        <v>1132</v>
      </c>
    </row>
    <row r="125" spans="1:10" ht="29" customHeight="1">
      <c r="A125" s="357"/>
      <c r="B125" s="338"/>
      <c r="C125" s="361"/>
      <c r="D125" s="290"/>
      <c r="E125" s="345"/>
      <c r="F125" s="201" t="s">
        <v>1142</v>
      </c>
      <c r="G125" s="201" t="s">
        <v>820</v>
      </c>
      <c r="H125" s="201" t="s">
        <v>820</v>
      </c>
      <c r="I125" s="203" t="s">
        <v>820</v>
      </c>
      <c r="J125" s="10" t="s">
        <v>1132</v>
      </c>
    </row>
    <row r="126" spans="1:10" ht="43.5">
      <c r="A126" s="357"/>
      <c r="B126" s="338"/>
      <c r="C126" s="361"/>
      <c r="D126" s="290"/>
      <c r="E126" s="181" t="s">
        <v>1143</v>
      </c>
      <c r="F126" s="201" t="s">
        <v>1144</v>
      </c>
      <c r="G126" s="201" t="s">
        <v>820</v>
      </c>
      <c r="H126" s="201" t="s">
        <v>820</v>
      </c>
      <c r="I126" s="201" t="s">
        <v>820</v>
      </c>
      <c r="J126" s="10" t="s">
        <v>1132</v>
      </c>
    </row>
    <row r="127" spans="1:10" ht="43.5">
      <c r="A127" s="357"/>
      <c r="B127" s="338"/>
      <c r="C127" s="361"/>
      <c r="D127" s="290"/>
      <c r="E127" s="182" t="s">
        <v>1145</v>
      </c>
      <c r="F127" s="201" t="s">
        <v>1146</v>
      </c>
      <c r="G127" s="201" t="s">
        <v>820</v>
      </c>
      <c r="H127" s="201" t="s">
        <v>820</v>
      </c>
      <c r="I127" s="201" t="s">
        <v>820</v>
      </c>
      <c r="J127" s="10" t="s">
        <v>1132</v>
      </c>
    </row>
    <row r="128" spans="1:10" ht="86.4" customHeight="1">
      <c r="A128" s="357">
        <v>8</v>
      </c>
      <c r="B128" s="338" t="s">
        <v>1147</v>
      </c>
      <c r="C128" s="356" t="s">
        <v>1148</v>
      </c>
      <c r="D128" s="290" t="s">
        <v>1149</v>
      </c>
      <c r="E128" s="358" t="s">
        <v>1150</v>
      </c>
      <c r="F128" s="201" t="s">
        <v>1151</v>
      </c>
      <c r="G128" s="182" t="s">
        <v>1152</v>
      </c>
      <c r="H128" s="10" t="s">
        <v>1153</v>
      </c>
      <c r="I128" s="182" t="s">
        <v>1154</v>
      </c>
      <c r="J128" s="215" t="s">
        <v>889</v>
      </c>
    </row>
    <row r="129" spans="1:10" ht="22.25" customHeight="1">
      <c r="A129" s="357"/>
      <c r="B129" s="338"/>
      <c r="C129" s="356"/>
      <c r="D129" s="290"/>
      <c r="E129" s="359"/>
      <c r="F129" s="201" t="s">
        <v>1155</v>
      </c>
      <c r="G129" s="243"/>
      <c r="H129" s="244"/>
      <c r="I129" s="244"/>
      <c r="J129" s="215" t="s">
        <v>889</v>
      </c>
    </row>
    <row r="130" spans="1:10" ht="44.25" customHeight="1">
      <c r="A130" s="357"/>
      <c r="B130" s="338"/>
      <c r="C130" s="356"/>
      <c r="D130" s="290"/>
      <c r="E130" s="360"/>
      <c r="F130" s="201" t="s">
        <v>1156</v>
      </c>
      <c r="G130" s="201" t="s">
        <v>820</v>
      </c>
      <c r="H130" s="201" t="s">
        <v>820</v>
      </c>
      <c r="I130" s="203">
        <v>3</v>
      </c>
      <c r="J130" s="129" t="s">
        <v>1132</v>
      </c>
    </row>
    <row r="131" spans="1:10" ht="43.5">
      <c r="A131" s="357"/>
      <c r="B131" s="338"/>
      <c r="C131" s="356"/>
      <c r="D131" s="290"/>
      <c r="E131" s="183" t="s">
        <v>1157</v>
      </c>
      <c r="F131" s="201" t="s">
        <v>1158</v>
      </c>
      <c r="G131" s="201" t="s">
        <v>820</v>
      </c>
      <c r="H131" s="201" t="s">
        <v>820</v>
      </c>
      <c r="I131" s="10" t="s">
        <v>1159</v>
      </c>
      <c r="J131" s="215" t="s">
        <v>889</v>
      </c>
    </row>
    <row r="132" spans="1:10" ht="41.4" customHeight="1">
      <c r="A132" s="357"/>
      <c r="B132" s="338"/>
      <c r="C132" s="356"/>
      <c r="D132" s="290" t="s">
        <v>1160</v>
      </c>
      <c r="E132" s="358" t="s">
        <v>1161</v>
      </c>
      <c r="F132" s="201" t="s">
        <v>1162</v>
      </c>
      <c r="G132" s="201" t="s">
        <v>820</v>
      </c>
      <c r="H132" s="201" t="s">
        <v>820</v>
      </c>
      <c r="I132" s="215" t="s">
        <v>1163</v>
      </c>
      <c r="J132" s="10" t="s">
        <v>1132</v>
      </c>
    </row>
    <row r="133" spans="1:10" ht="24" customHeight="1">
      <c r="A133" s="357"/>
      <c r="B133" s="338"/>
      <c r="C133" s="356"/>
      <c r="D133" s="290"/>
      <c r="E133" s="359"/>
      <c r="F133" s="201" t="s">
        <v>1164</v>
      </c>
      <c r="G133" s="201" t="s">
        <v>820</v>
      </c>
      <c r="H133" s="201" t="s">
        <v>820</v>
      </c>
      <c r="I133" s="215" t="s">
        <v>1165</v>
      </c>
      <c r="J133" s="10" t="s">
        <v>1132</v>
      </c>
    </row>
    <row r="134" spans="1:10" ht="14.4" customHeight="1">
      <c r="A134" s="357"/>
      <c r="B134" s="338"/>
      <c r="C134" s="356"/>
      <c r="D134" s="290"/>
      <c r="E134" s="360"/>
      <c r="F134" s="201" t="s">
        <v>1166</v>
      </c>
      <c r="G134" s="201" t="s">
        <v>820</v>
      </c>
      <c r="H134" s="201" t="s">
        <v>820</v>
      </c>
      <c r="I134" s="215" t="s">
        <v>1167</v>
      </c>
      <c r="J134" s="10" t="s">
        <v>1132</v>
      </c>
    </row>
    <row r="135" spans="1:10" ht="58">
      <c r="A135" s="357"/>
      <c r="B135" s="338"/>
      <c r="C135" s="356"/>
      <c r="D135" s="290"/>
      <c r="E135" s="181" t="s">
        <v>1168</v>
      </c>
      <c r="F135" s="201" t="s">
        <v>1169</v>
      </c>
      <c r="G135" s="201" t="s">
        <v>820</v>
      </c>
      <c r="H135" s="201" t="s">
        <v>820</v>
      </c>
      <c r="I135" s="225" t="s">
        <v>748</v>
      </c>
      <c r="J135" s="10" t="s">
        <v>1132</v>
      </c>
    </row>
    <row r="136" spans="1:10" ht="57.65" customHeight="1">
      <c r="A136" s="357"/>
      <c r="B136" s="338"/>
      <c r="C136" s="356"/>
      <c r="D136" s="290" t="s">
        <v>1170</v>
      </c>
      <c r="E136" s="358" t="s">
        <v>1171</v>
      </c>
      <c r="F136" s="201" t="s">
        <v>1172</v>
      </c>
      <c r="G136" s="201" t="s">
        <v>820</v>
      </c>
      <c r="H136" s="201" t="s">
        <v>820</v>
      </c>
      <c r="I136" s="215" t="s">
        <v>1173</v>
      </c>
      <c r="J136" s="10" t="s">
        <v>1132</v>
      </c>
    </row>
    <row r="137" spans="1:10" ht="14.5">
      <c r="A137" s="357"/>
      <c r="B137" s="338"/>
      <c r="C137" s="356"/>
      <c r="D137" s="290"/>
      <c r="E137" s="359"/>
      <c r="F137" s="201" t="s">
        <v>1174</v>
      </c>
      <c r="G137" s="201" t="s">
        <v>820</v>
      </c>
      <c r="H137" s="201" t="s">
        <v>820</v>
      </c>
      <c r="I137" s="216" t="s">
        <v>820</v>
      </c>
      <c r="J137" s="10" t="s">
        <v>1132</v>
      </c>
    </row>
    <row r="138" spans="1:10" ht="14.5">
      <c r="A138" s="357"/>
      <c r="B138" s="338"/>
      <c r="C138" s="356"/>
      <c r="D138" s="290"/>
      <c r="E138" s="360"/>
      <c r="F138" s="201" t="s">
        <v>1175</v>
      </c>
      <c r="G138" s="201" t="s">
        <v>820</v>
      </c>
      <c r="H138" s="201" t="s">
        <v>820</v>
      </c>
      <c r="I138" s="216">
        <v>1</v>
      </c>
      <c r="J138" s="10" t="s">
        <v>1132</v>
      </c>
    </row>
    <row r="139" spans="1:10" ht="43.5">
      <c r="A139" s="357"/>
      <c r="B139" s="338"/>
      <c r="C139" s="356"/>
      <c r="D139" s="290"/>
      <c r="E139" s="358" t="s">
        <v>1176</v>
      </c>
      <c r="F139" s="201" t="s">
        <v>1177</v>
      </c>
      <c r="G139" s="201" t="s">
        <v>820</v>
      </c>
      <c r="H139" s="201" t="s">
        <v>820</v>
      </c>
      <c r="I139" s="215" t="s">
        <v>1178</v>
      </c>
      <c r="J139" s="10" t="s">
        <v>1179</v>
      </c>
    </row>
    <row r="140" spans="1:10" ht="14.5">
      <c r="A140" s="357"/>
      <c r="B140" s="338"/>
      <c r="C140" s="356"/>
      <c r="D140" s="290"/>
      <c r="E140" s="360"/>
      <c r="F140" s="201" t="s">
        <v>1180</v>
      </c>
      <c r="G140" s="201" t="s">
        <v>820</v>
      </c>
      <c r="H140" s="201" t="s">
        <v>820</v>
      </c>
      <c r="I140" s="201" t="s">
        <v>820</v>
      </c>
      <c r="J140" s="203">
        <v>3</v>
      </c>
    </row>
    <row r="141" spans="1:10" ht="43.5">
      <c r="A141" s="328">
        <v>9</v>
      </c>
      <c r="B141" s="338" t="s">
        <v>1181</v>
      </c>
      <c r="C141" s="355" t="s">
        <v>1182</v>
      </c>
      <c r="D141" s="349" t="s">
        <v>1183</v>
      </c>
      <c r="E141" s="194" t="s">
        <v>1184</v>
      </c>
      <c r="F141" s="201" t="s">
        <v>1185</v>
      </c>
      <c r="G141" s="201" t="s">
        <v>820</v>
      </c>
      <c r="H141" s="203" t="s">
        <v>820</v>
      </c>
      <c r="I141" s="201" t="s">
        <v>820</v>
      </c>
      <c r="J141" s="10" t="s">
        <v>1186</v>
      </c>
    </row>
    <row r="142" spans="1:10" ht="58">
      <c r="A142" s="329"/>
      <c r="B142" s="338"/>
      <c r="C142" s="355"/>
      <c r="D142" s="350"/>
      <c r="E142" s="343" t="s">
        <v>1187</v>
      </c>
      <c r="F142" s="201" t="s">
        <v>1188</v>
      </c>
      <c r="G142" s="182" t="s">
        <v>1189</v>
      </c>
      <c r="H142" s="203" t="s">
        <v>820</v>
      </c>
      <c r="I142" s="203" t="s">
        <v>820</v>
      </c>
      <c r="J142" s="10" t="s">
        <v>889</v>
      </c>
    </row>
    <row r="143" spans="1:10" ht="29" customHeight="1">
      <c r="A143" s="329"/>
      <c r="B143" s="338"/>
      <c r="C143" s="355"/>
      <c r="D143" s="351"/>
      <c r="E143" s="345"/>
      <c r="F143" s="201" t="s">
        <v>1190</v>
      </c>
      <c r="G143" s="182" t="s">
        <v>1191</v>
      </c>
      <c r="H143" s="203" t="s">
        <v>820</v>
      </c>
      <c r="I143" s="203" t="s">
        <v>820</v>
      </c>
      <c r="J143" s="10" t="s">
        <v>889</v>
      </c>
    </row>
    <row r="144" spans="1:10" ht="14.5">
      <c r="A144" s="329"/>
      <c r="B144" s="338"/>
      <c r="C144" s="355"/>
      <c r="D144" s="349" t="s">
        <v>1192</v>
      </c>
      <c r="E144" s="182" t="s">
        <v>1193</v>
      </c>
      <c r="F144" s="201" t="s">
        <v>1194</v>
      </c>
      <c r="G144" s="203" t="s">
        <v>820</v>
      </c>
      <c r="H144" s="203" t="s">
        <v>820</v>
      </c>
      <c r="I144" s="203" t="s">
        <v>820</v>
      </c>
      <c r="J144" s="182" t="s">
        <v>1195</v>
      </c>
    </row>
    <row r="145" spans="1:10" ht="14.5">
      <c r="A145" s="329"/>
      <c r="B145" s="338"/>
      <c r="C145" s="355"/>
      <c r="D145" s="350"/>
      <c r="E145" s="182" t="s">
        <v>1196</v>
      </c>
      <c r="F145" s="201" t="s">
        <v>1197</v>
      </c>
      <c r="G145" s="203" t="s">
        <v>820</v>
      </c>
      <c r="H145" s="203" t="s">
        <v>820</v>
      </c>
      <c r="I145" s="203" t="s">
        <v>820</v>
      </c>
      <c r="J145" s="10" t="s">
        <v>889</v>
      </c>
    </row>
    <row r="146" spans="1:10" ht="58">
      <c r="A146" s="329"/>
      <c r="B146" s="338"/>
      <c r="C146" s="355"/>
      <c r="D146" s="351"/>
      <c r="E146" s="181" t="s">
        <v>1198</v>
      </c>
      <c r="F146" s="201" t="s">
        <v>1199</v>
      </c>
      <c r="G146" s="203" t="s">
        <v>820</v>
      </c>
      <c r="H146" s="203" t="s">
        <v>820</v>
      </c>
      <c r="I146" s="203" t="s">
        <v>820</v>
      </c>
      <c r="J146" s="10" t="s">
        <v>889</v>
      </c>
    </row>
    <row r="147" spans="1:10" ht="29" customHeight="1">
      <c r="A147" s="329"/>
      <c r="B147" s="338"/>
      <c r="C147" s="355"/>
      <c r="D147" s="349" t="s">
        <v>1200</v>
      </c>
      <c r="E147" s="181" t="s">
        <v>1201</v>
      </c>
      <c r="F147" s="201" t="s">
        <v>1202</v>
      </c>
      <c r="G147" s="203" t="s">
        <v>820</v>
      </c>
      <c r="H147" s="203" t="s">
        <v>820</v>
      </c>
      <c r="I147" s="203" t="s">
        <v>820</v>
      </c>
      <c r="J147" s="182"/>
    </row>
    <row r="148" spans="1:10" ht="29" customHeight="1">
      <c r="A148" s="329"/>
      <c r="B148" s="338"/>
      <c r="C148" s="355"/>
      <c r="D148" s="350"/>
      <c r="E148" s="181" t="s">
        <v>1203</v>
      </c>
      <c r="F148" s="201" t="s">
        <v>1204</v>
      </c>
      <c r="G148" s="203" t="s">
        <v>820</v>
      </c>
      <c r="H148" s="203" t="s">
        <v>820</v>
      </c>
      <c r="I148" s="203" t="s">
        <v>820</v>
      </c>
      <c r="J148" s="182" t="s">
        <v>1205</v>
      </c>
    </row>
    <row r="149" spans="1:10" ht="43.25" customHeight="1">
      <c r="A149" s="329"/>
      <c r="B149" s="338"/>
      <c r="C149" s="355"/>
      <c r="D149" s="350"/>
      <c r="E149" s="343" t="s">
        <v>1206</v>
      </c>
      <c r="F149" s="201" t="s">
        <v>1207</v>
      </c>
      <c r="G149" s="203" t="s">
        <v>820</v>
      </c>
      <c r="H149" s="203" t="s">
        <v>820</v>
      </c>
      <c r="I149" s="203" t="s">
        <v>820</v>
      </c>
      <c r="J149" s="182" t="s">
        <v>1208</v>
      </c>
    </row>
    <row r="150" spans="1:10" ht="29" customHeight="1">
      <c r="A150" s="329"/>
      <c r="B150" s="338"/>
      <c r="C150" s="355"/>
      <c r="D150" s="350"/>
      <c r="E150" s="345"/>
      <c r="F150" s="201" t="s">
        <v>1209</v>
      </c>
      <c r="G150" s="203" t="s">
        <v>820</v>
      </c>
      <c r="H150" s="203" t="s">
        <v>820</v>
      </c>
      <c r="I150" s="203" t="s">
        <v>820</v>
      </c>
      <c r="J150" s="10" t="s">
        <v>1210</v>
      </c>
    </row>
    <row r="151" spans="1:10" ht="29" customHeight="1">
      <c r="A151" s="329"/>
      <c r="B151" s="338"/>
      <c r="C151" s="355"/>
      <c r="D151" s="350"/>
      <c r="E151" s="336" t="s">
        <v>1211</v>
      </c>
      <c r="F151" s="201" t="s">
        <v>1212</v>
      </c>
      <c r="G151" s="203" t="s">
        <v>820</v>
      </c>
      <c r="H151" s="203" t="s">
        <v>820</v>
      </c>
      <c r="I151" s="203" t="s">
        <v>820</v>
      </c>
      <c r="J151" s="10" t="s">
        <v>1210</v>
      </c>
    </row>
    <row r="152" spans="1:10" ht="29" customHeight="1">
      <c r="A152" s="329"/>
      <c r="B152" s="338"/>
      <c r="C152" s="355"/>
      <c r="D152" s="350"/>
      <c r="E152" s="336"/>
      <c r="F152" s="201" t="s">
        <v>1213</v>
      </c>
      <c r="G152" s="203" t="s">
        <v>820</v>
      </c>
      <c r="H152" s="203" t="s">
        <v>820</v>
      </c>
      <c r="I152" s="203" t="s">
        <v>820</v>
      </c>
      <c r="J152" s="10" t="s">
        <v>1210</v>
      </c>
    </row>
    <row r="153" spans="1:10" ht="29">
      <c r="A153" s="329"/>
      <c r="B153" s="338"/>
      <c r="C153" s="355"/>
      <c r="D153" s="350"/>
      <c r="E153" s="336"/>
      <c r="F153" s="201" t="s">
        <v>1214</v>
      </c>
      <c r="G153" s="203" t="s">
        <v>820</v>
      </c>
      <c r="H153" s="203" t="s">
        <v>820</v>
      </c>
      <c r="I153" s="203" t="s">
        <v>820</v>
      </c>
      <c r="J153" s="10" t="s">
        <v>1210</v>
      </c>
    </row>
    <row r="154" spans="1:10" ht="29" customHeight="1">
      <c r="A154" s="329"/>
      <c r="B154" s="338"/>
      <c r="C154" s="355"/>
      <c r="D154" s="350"/>
      <c r="E154" s="336"/>
      <c r="F154" s="201" t="s">
        <v>1215</v>
      </c>
      <c r="G154" s="203" t="s">
        <v>820</v>
      </c>
      <c r="H154" s="203" t="s">
        <v>820</v>
      </c>
      <c r="I154" s="203" t="s">
        <v>820</v>
      </c>
      <c r="J154" s="10" t="s">
        <v>1210</v>
      </c>
    </row>
    <row r="155" spans="1:10" ht="29">
      <c r="A155" s="329"/>
      <c r="B155" s="338"/>
      <c r="C155" s="355"/>
      <c r="D155" s="350"/>
      <c r="E155" s="336"/>
      <c r="F155" s="201" t="s">
        <v>1216</v>
      </c>
      <c r="G155" s="203" t="s">
        <v>820</v>
      </c>
      <c r="H155" s="203" t="s">
        <v>820</v>
      </c>
      <c r="I155" s="203" t="s">
        <v>820</v>
      </c>
      <c r="J155" s="10" t="s">
        <v>1210</v>
      </c>
    </row>
    <row r="156" spans="1:10" ht="29">
      <c r="A156" s="329"/>
      <c r="B156" s="338"/>
      <c r="C156" s="355"/>
      <c r="D156" s="351"/>
      <c r="E156" s="181" t="s">
        <v>1217</v>
      </c>
      <c r="F156" s="201" t="s">
        <v>1218</v>
      </c>
      <c r="G156" s="203" t="s">
        <v>820</v>
      </c>
      <c r="H156" s="203" t="s">
        <v>820</v>
      </c>
      <c r="I156" s="203" t="s">
        <v>820</v>
      </c>
      <c r="J156" s="10" t="s">
        <v>1210</v>
      </c>
    </row>
    <row r="157" spans="1:10" ht="29" customHeight="1">
      <c r="A157" s="329"/>
      <c r="B157" s="338"/>
      <c r="C157" s="355"/>
      <c r="D157" s="352" t="s">
        <v>1219</v>
      </c>
      <c r="E157" s="181" t="s">
        <v>1220</v>
      </c>
      <c r="F157" s="201" t="s">
        <v>1221</v>
      </c>
      <c r="G157" s="203" t="s">
        <v>820</v>
      </c>
      <c r="H157" s="203" t="s">
        <v>820</v>
      </c>
      <c r="I157" s="10" t="s">
        <v>1222</v>
      </c>
      <c r="J157" s="10" t="s">
        <v>1223</v>
      </c>
    </row>
    <row r="158" spans="1:10" ht="63.65" customHeight="1">
      <c r="A158" s="329"/>
      <c r="B158" s="338"/>
      <c r="C158" s="355"/>
      <c r="D158" s="353"/>
      <c r="E158" s="181" t="s">
        <v>1224</v>
      </c>
      <c r="F158" s="201" t="s">
        <v>1225</v>
      </c>
      <c r="G158" s="203" t="s">
        <v>820</v>
      </c>
      <c r="H158" s="203" t="s">
        <v>820</v>
      </c>
      <c r="I158" s="10" t="s">
        <v>1226</v>
      </c>
      <c r="J158" s="182" t="s">
        <v>1227</v>
      </c>
    </row>
    <row r="159" spans="1:10" ht="14.5">
      <c r="A159" s="329"/>
      <c r="B159" s="338"/>
      <c r="C159" s="355"/>
      <c r="D159" s="354"/>
      <c r="E159" s="181" t="s">
        <v>1228</v>
      </c>
      <c r="F159" s="201" t="s">
        <v>1229</v>
      </c>
      <c r="G159" s="203" t="s">
        <v>820</v>
      </c>
      <c r="H159" s="203" t="s">
        <v>820</v>
      </c>
      <c r="I159" s="201" t="s">
        <v>820</v>
      </c>
      <c r="J159" s="182" t="s">
        <v>889</v>
      </c>
    </row>
    <row r="160" spans="1:10" ht="14.5">
      <c r="A160" s="329"/>
      <c r="B160" s="338"/>
      <c r="C160" s="355"/>
      <c r="D160" s="325" t="s">
        <v>1230</v>
      </c>
      <c r="E160" s="181" t="s">
        <v>1231</v>
      </c>
      <c r="F160" s="201" t="s">
        <v>1232</v>
      </c>
      <c r="G160" s="201" t="s">
        <v>820</v>
      </c>
      <c r="H160" s="201" t="s">
        <v>820</v>
      </c>
      <c r="I160" s="201" t="s">
        <v>820</v>
      </c>
      <c r="J160" s="182" t="s">
        <v>1233</v>
      </c>
    </row>
    <row r="161" spans="1:10" ht="141.75" customHeight="1">
      <c r="A161" s="329"/>
      <c r="B161" s="338"/>
      <c r="C161" s="355"/>
      <c r="D161" s="326"/>
      <c r="E161" s="181" t="s">
        <v>1234</v>
      </c>
      <c r="F161" s="201" t="s">
        <v>1235</v>
      </c>
      <c r="G161" s="201" t="s">
        <v>820</v>
      </c>
      <c r="H161" s="201" t="s">
        <v>820</v>
      </c>
      <c r="I161" s="201" t="s">
        <v>820</v>
      </c>
      <c r="J161" s="182" t="s">
        <v>1236</v>
      </c>
    </row>
    <row r="162" spans="1:10" ht="14.5">
      <c r="A162" s="329"/>
      <c r="B162" s="338"/>
      <c r="C162" s="355"/>
      <c r="D162" s="326"/>
      <c r="E162" s="181" t="s">
        <v>1237</v>
      </c>
      <c r="F162" s="201" t="s">
        <v>1238</v>
      </c>
      <c r="G162" s="201" t="s">
        <v>820</v>
      </c>
      <c r="H162" s="201" t="s">
        <v>820</v>
      </c>
      <c r="I162" s="201" t="s">
        <v>820</v>
      </c>
      <c r="J162" s="182" t="s">
        <v>1239</v>
      </c>
    </row>
    <row r="163" spans="1:10" ht="29">
      <c r="A163" s="329"/>
      <c r="B163" s="338"/>
      <c r="C163" s="355"/>
      <c r="D163" s="326"/>
      <c r="E163" s="181" t="s">
        <v>1240</v>
      </c>
      <c r="F163" s="201" t="s">
        <v>1241</v>
      </c>
      <c r="G163" s="201" t="s">
        <v>820</v>
      </c>
      <c r="H163" s="201" t="s">
        <v>820</v>
      </c>
      <c r="I163" s="201" t="s">
        <v>820</v>
      </c>
      <c r="J163" s="182" t="s">
        <v>1242</v>
      </c>
    </row>
    <row r="164" spans="1:10" ht="43.5">
      <c r="A164" s="330"/>
      <c r="B164" s="338"/>
      <c r="C164" s="355"/>
      <c r="D164" s="327"/>
      <c r="E164" s="181" t="s">
        <v>1243</v>
      </c>
      <c r="F164" s="201" t="s">
        <v>1244</v>
      </c>
      <c r="G164" s="201" t="s">
        <v>820</v>
      </c>
      <c r="H164" s="201" t="s">
        <v>820</v>
      </c>
      <c r="I164" s="201" t="s">
        <v>820</v>
      </c>
      <c r="J164" s="182" t="s">
        <v>1245</v>
      </c>
    </row>
    <row r="165" spans="1:10" ht="29">
      <c r="A165" s="328">
        <v>10</v>
      </c>
      <c r="B165" s="296" t="s">
        <v>1246</v>
      </c>
      <c r="C165" s="346" t="s">
        <v>1247</v>
      </c>
      <c r="D165" s="335" t="s">
        <v>1248</v>
      </c>
      <c r="E165" s="181" t="s">
        <v>1249</v>
      </c>
      <c r="F165" s="201" t="s">
        <v>1250</v>
      </c>
      <c r="G165" s="201" t="s">
        <v>820</v>
      </c>
      <c r="H165" s="201" t="s">
        <v>820</v>
      </c>
      <c r="I165" s="203" t="s">
        <v>820</v>
      </c>
      <c r="J165" s="182" t="s">
        <v>1251</v>
      </c>
    </row>
    <row r="166" spans="1:10" ht="43.5">
      <c r="A166" s="329"/>
      <c r="B166" s="297"/>
      <c r="C166" s="347"/>
      <c r="D166" s="335"/>
      <c r="E166" s="181" t="s">
        <v>1252</v>
      </c>
      <c r="F166" s="201" t="s">
        <v>1253</v>
      </c>
      <c r="G166" s="201" t="s">
        <v>820</v>
      </c>
      <c r="H166" s="201" t="s">
        <v>820</v>
      </c>
      <c r="I166" s="245"/>
      <c r="J166" s="182" t="s">
        <v>1254</v>
      </c>
    </row>
    <row r="167" spans="1:10" ht="57.65" customHeight="1">
      <c r="A167" s="329"/>
      <c r="B167" s="297"/>
      <c r="C167" s="347"/>
      <c r="D167" s="335"/>
      <c r="E167" s="181" t="s">
        <v>1255</v>
      </c>
      <c r="F167" s="201" t="s">
        <v>1256</v>
      </c>
      <c r="G167" s="201" t="s">
        <v>820</v>
      </c>
      <c r="H167" s="201" t="s">
        <v>820</v>
      </c>
      <c r="I167" s="245"/>
      <c r="J167" s="246"/>
    </row>
    <row r="168" spans="1:10" ht="29">
      <c r="A168" s="329"/>
      <c r="B168" s="297"/>
      <c r="C168" s="347"/>
      <c r="D168" s="335"/>
      <c r="E168" s="181" t="s">
        <v>1257</v>
      </c>
      <c r="F168" s="201" t="s">
        <v>1250</v>
      </c>
      <c r="G168" s="201" t="s">
        <v>820</v>
      </c>
      <c r="H168" s="201" t="s">
        <v>820</v>
      </c>
      <c r="I168" s="201" t="s">
        <v>820</v>
      </c>
      <c r="J168" s="246"/>
    </row>
    <row r="169" spans="1:10" ht="71.400000000000006" customHeight="1">
      <c r="A169" s="329"/>
      <c r="B169" s="297"/>
      <c r="C169" s="347"/>
      <c r="D169" s="325" t="s">
        <v>1258</v>
      </c>
      <c r="E169" s="336" t="s">
        <v>1259</v>
      </c>
      <c r="F169" s="201" t="s">
        <v>1260</v>
      </c>
      <c r="G169" s="201" t="s">
        <v>820</v>
      </c>
      <c r="H169" s="201" t="s">
        <v>820</v>
      </c>
      <c r="I169" s="182" t="s">
        <v>1261</v>
      </c>
      <c r="J169" s="10" t="s">
        <v>1262</v>
      </c>
    </row>
    <row r="170" spans="1:10" ht="14.5">
      <c r="A170" s="329"/>
      <c r="B170" s="297"/>
      <c r="C170" s="347"/>
      <c r="D170" s="326"/>
      <c r="E170" s="336"/>
      <c r="F170" s="201" t="s">
        <v>1174</v>
      </c>
      <c r="G170" s="201" t="s">
        <v>820</v>
      </c>
      <c r="H170" s="201" t="s">
        <v>820</v>
      </c>
      <c r="I170" s="203" t="s">
        <v>820</v>
      </c>
      <c r="J170" s="10" t="s">
        <v>1262</v>
      </c>
    </row>
    <row r="171" spans="1:10" ht="58">
      <c r="A171" s="330"/>
      <c r="B171" s="298"/>
      <c r="C171" s="348"/>
      <c r="D171" s="327"/>
      <c r="E171" s="182" t="s">
        <v>1263</v>
      </c>
      <c r="F171" s="201" t="s">
        <v>1264</v>
      </c>
      <c r="G171" s="201" t="s">
        <v>820</v>
      </c>
      <c r="H171" s="201" t="s">
        <v>820</v>
      </c>
      <c r="I171" s="201" t="s">
        <v>820</v>
      </c>
      <c r="J171" s="10" t="s">
        <v>1262</v>
      </c>
    </row>
    <row r="172" spans="1:10" ht="26.4" customHeight="1">
      <c r="A172" s="328">
        <v>11</v>
      </c>
      <c r="B172" s="296" t="s">
        <v>1265</v>
      </c>
      <c r="C172" s="340" t="s">
        <v>1266</v>
      </c>
      <c r="D172" s="325" t="s">
        <v>1267</v>
      </c>
      <c r="E172" s="343" t="s">
        <v>1268</v>
      </c>
      <c r="F172" s="201" t="s">
        <v>1269</v>
      </c>
      <c r="G172" s="201" t="s">
        <v>820</v>
      </c>
      <c r="H172" s="201" t="s">
        <v>820</v>
      </c>
      <c r="I172" s="182" t="s">
        <v>1270</v>
      </c>
      <c r="J172" s="182" t="s">
        <v>1271</v>
      </c>
    </row>
    <row r="173" spans="1:10" ht="85.5" customHeight="1">
      <c r="A173" s="329"/>
      <c r="B173" s="297"/>
      <c r="C173" s="341"/>
      <c r="D173" s="326"/>
      <c r="E173" s="344"/>
      <c r="F173" s="201" t="s">
        <v>1272</v>
      </c>
      <c r="G173" s="201" t="s">
        <v>820</v>
      </c>
      <c r="H173" s="201" t="s">
        <v>820</v>
      </c>
      <c r="I173" s="182" t="s">
        <v>1273</v>
      </c>
      <c r="J173" s="10" t="s">
        <v>1274</v>
      </c>
    </row>
    <row r="174" spans="1:10" ht="29" customHeight="1">
      <c r="A174" s="330"/>
      <c r="B174" s="298"/>
      <c r="C174" s="342"/>
      <c r="D174" s="327"/>
      <c r="E174" s="345"/>
      <c r="F174" s="201" t="s">
        <v>1275</v>
      </c>
      <c r="G174" s="201" t="s">
        <v>820</v>
      </c>
      <c r="H174" s="201" t="s">
        <v>820</v>
      </c>
      <c r="I174" s="182" t="s">
        <v>1276</v>
      </c>
      <c r="J174" s="182" t="s">
        <v>1277</v>
      </c>
    </row>
    <row r="175" spans="1:10" ht="29">
      <c r="A175" s="328">
        <v>12</v>
      </c>
      <c r="B175" s="296" t="s">
        <v>1278</v>
      </c>
      <c r="C175" s="293" t="s">
        <v>1279</v>
      </c>
      <c r="D175" s="325" t="s">
        <v>1280</v>
      </c>
      <c r="E175" s="182" t="s">
        <v>1281</v>
      </c>
      <c r="F175" s="201" t="s">
        <v>1282</v>
      </c>
      <c r="G175" s="201" t="s">
        <v>820</v>
      </c>
      <c r="H175" s="201" t="s">
        <v>820</v>
      </c>
      <c r="I175" s="201" t="s">
        <v>820</v>
      </c>
      <c r="J175" s="328" t="s">
        <v>1283</v>
      </c>
    </row>
    <row r="176" spans="1:10" ht="14.5">
      <c r="A176" s="329"/>
      <c r="B176" s="297"/>
      <c r="C176" s="294"/>
      <c r="D176" s="326"/>
      <c r="E176" s="182" t="s">
        <v>1284</v>
      </c>
      <c r="F176" s="201" t="s">
        <v>1285</v>
      </c>
      <c r="G176" s="201" t="s">
        <v>820</v>
      </c>
      <c r="H176" s="201" t="s">
        <v>820</v>
      </c>
      <c r="I176" s="201" t="s">
        <v>820</v>
      </c>
      <c r="J176" s="329"/>
    </row>
    <row r="177" spans="1:10" ht="14.5">
      <c r="A177" s="329"/>
      <c r="B177" s="297"/>
      <c r="C177" s="294"/>
      <c r="D177" s="327"/>
      <c r="E177" s="182" t="s">
        <v>1286</v>
      </c>
      <c r="F177" s="201" t="s">
        <v>1287</v>
      </c>
      <c r="G177" s="201" t="s">
        <v>820</v>
      </c>
      <c r="H177" s="201" t="s">
        <v>820</v>
      </c>
      <c r="I177" s="201" t="s">
        <v>820</v>
      </c>
      <c r="J177" s="330"/>
    </row>
    <row r="178" spans="1:10" ht="29">
      <c r="A178" s="329"/>
      <c r="B178" s="297"/>
      <c r="C178" s="294"/>
      <c r="D178" s="325" t="s">
        <v>1288</v>
      </c>
      <c r="E178" s="182" t="s">
        <v>1289</v>
      </c>
      <c r="F178" s="201" t="s">
        <v>1290</v>
      </c>
      <c r="G178" s="201" t="s">
        <v>820</v>
      </c>
      <c r="H178" s="203" t="s">
        <v>1291</v>
      </c>
      <c r="I178" s="203" t="s">
        <v>1292</v>
      </c>
      <c r="J178" s="175" t="s">
        <v>1293</v>
      </c>
    </row>
    <row r="179" spans="1:10" ht="58">
      <c r="A179" s="329"/>
      <c r="B179" s="297"/>
      <c r="C179" s="294"/>
      <c r="D179" s="326"/>
      <c r="E179" s="336" t="s">
        <v>1294</v>
      </c>
      <c r="F179" s="201" t="s">
        <v>1295</v>
      </c>
      <c r="G179" s="201" t="s">
        <v>820</v>
      </c>
      <c r="H179" s="201" t="s">
        <v>820</v>
      </c>
      <c r="I179" s="129" t="s">
        <v>1296</v>
      </c>
      <c r="J179" s="199" t="s">
        <v>1297</v>
      </c>
    </row>
    <row r="180" spans="1:10" ht="57" customHeight="1">
      <c r="A180" s="329"/>
      <c r="B180" s="297"/>
      <c r="C180" s="294"/>
      <c r="D180" s="326"/>
      <c r="E180" s="336"/>
      <c r="F180" s="201" t="s">
        <v>1298</v>
      </c>
      <c r="G180" s="201" t="s">
        <v>820</v>
      </c>
      <c r="H180" s="201" t="s">
        <v>820</v>
      </c>
      <c r="I180" s="173" t="s">
        <v>1299</v>
      </c>
      <c r="J180" s="10" t="s">
        <v>1300</v>
      </c>
    </row>
    <row r="181" spans="1:10" ht="139.5" customHeight="1">
      <c r="A181" s="329"/>
      <c r="B181" s="297"/>
      <c r="C181" s="294"/>
      <c r="D181" s="326"/>
      <c r="E181" s="336"/>
      <c r="F181" s="201" t="s">
        <v>1301</v>
      </c>
      <c r="G181" s="201" t="s">
        <v>820</v>
      </c>
      <c r="H181" s="201" t="s">
        <v>820</v>
      </c>
      <c r="I181" s="201" t="s">
        <v>820</v>
      </c>
      <c r="J181" s="279" t="s">
        <v>820</v>
      </c>
    </row>
    <row r="182" spans="1:10" ht="29" customHeight="1">
      <c r="A182" s="329"/>
      <c r="B182" s="297"/>
      <c r="C182" s="294"/>
      <c r="D182" s="326"/>
      <c r="E182" s="336" t="s">
        <v>1302</v>
      </c>
      <c r="F182" s="201" t="s">
        <v>557</v>
      </c>
      <c r="G182" s="201" t="s">
        <v>820</v>
      </c>
      <c r="H182" s="201" t="s">
        <v>820</v>
      </c>
      <c r="I182" s="201" t="s">
        <v>820</v>
      </c>
      <c r="J182" s="279" t="s">
        <v>820</v>
      </c>
    </row>
    <row r="183" spans="1:10" ht="14.5">
      <c r="A183" s="329"/>
      <c r="B183" s="297"/>
      <c r="C183" s="294"/>
      <c r="D183" s="327"/>
      <c r="E183" s="336"/>
      <c r="F183" s="201" t="s">
        <v>1303</v>
      </c>
      <c r="G183" s="201" t="s">
        <v>820</v>
      </c>
      <c r="H183" s="201" t="s">
        <v>820</v>
      </c>
      <c r="I183" s="201" t="s">
        <v>820</v>
      </c>
      <c r="J183" s="279" t="s">
        <v>820</v>
      </c>
    </row>
    <row r="184" spans="1:10" ht="60.75" customHeight="1">
      <c r="A184" s="329"/>
      <c r="B184" s="297"/>
      <c r="C184" s="294"/>
      <c r="D184" s="325" t="s">
        <v>1304</v>
      </c>
      <c r="E184" s="197" t="s">
        <v>1305</v>
      </c>
      <c r="F184" s="201" t="s">
        <v>1306</v>
      </c>
      <c r="G184" s="201" t="s">
        <v>820</v>
      </c>
      <c r="H184" s="201" t="s">
        <v>820</v>
      </c>
      <c r="I184" s="201" t="s">
        <v>820</v>
      </c>
      <c r="J184" s="319" t="s">
        <v>1307</v>
      </c>
    </row>
    <row r="185" spans="1:10" ht="29" customHeight="1">
      <c r="A185" s="329"/>
      <c r="B185" s="297"/>
      <c r="C185" s="294"/>
      <c r="D185" s="326"/>
      <c r="E185" s="336" t="s">
        <v>1308</v>
      </c>
      <c r="F185" s="201" t="s">
        <v>1309</v>
      </c>
      <c r="G185" s="201" t="s">
        <v>820</v>
      </c>
      <c r="H185" s="201" t="s">
        <v>820</v>
      </c>
      <c r="I185" s="201" t="s">
        <v>820</v>
      </c>
      <c r="J185" s="320"/>
    </row>
    <row r="186" spans="1:10" ht="14.5">
      <c r="A186" s="329"/>
      <c r="B186" s="297"/>
      <c r="C186" s="294"/>
      <c r="D186" s="326"/>
      <c r="E186" s="336"/>
      <c r="F186" s="201" t="s">
        <v>1310</v>
      </c>
      <c r="G186" s="201" t="s">
        <v>820</v>
      </c>
      <c r="H186" s="201" t="s">
        <v>820</v>
      </c>
      <c r="I186" s="201" t="s">
        <v>820</v>
      </c>
      <c r="J186" s="321"/>
    </row>
    <row r="187" spans="1:10" ht="14.5">
      <c r="A187" s="329"/>
      <c r="B187" s="297"/>
      <c r="C187" s="294"/>
      <c r="D187" s="292" t="s">
        <v>1311</v>
      </c>
      <c r="E187" s="182" t="s">
        <v>1312</v>
      </c>
      <c r="F187" s="201" t="s">
        <v>1313</v>
      </c>
      <c r="G187" s="201" t="s">
        <v>820</v>
      </c>
      <c r="H187" s="201" t="s">
        <v>820</v>
      </c>
      <c r="I187" s="201" t="s">
        <v>820</v>
      </c>
      <c r="J187" s="199" t="s">
        <v>1314</v>
      </c>
    </row>
    <row r="188" spans="1:10" ht="43.25" customHeight="1">
      <c r="A188" s="329"/>
      <c r="B188" s="297"/>
      <c r="C188" s="294"/>
      <c r="D188" s="292"/>
      <c r="E188" s="336" t="s">
        <v>1315</v>
      </c>
      <c r="F188" s="201" t="s">
        <v>1316</v>
      </c>
      <c r="G188" s="201" t="s">
        <v>820</v>
      </c>
      <c r="H188" s="201" t="s">
        <v>820</v>
      </c>
      <c r="I188" s="211" t="s">
        <v>820</v>
      </c>
      <c r="J188" s="10" t="s">
        <v>1317</v>
      </c>
    </row>
    <row r="189" spans="1:10" ht="14.5">
      <c r="A189" s="329"/>
      <c r="B189" s="297"/>
      <c r="C189" s="294"/>
      <c r="D189" s="292"/>
      <c r="E189" s="336"/>
      <c r="F189" s="201" t="s">
        <v>1318</v>
      </c>
      <c r="G189" s="201" t="s">
        <v>820</v>
      </c>
      <c r="H189" s="201" t="s">
        <v>820</v>
      </c>
      <c r="I189" s="201" t="s">
        <v>820</v>
      </c>
      <c r="J189" s="175" t="s">
        <v>1317</v>
      </c>
    </row>
    <row r="190" spans="1:10" ht="14.5">
      <c r="A190" s="330"/>
      <c r="B190" s="298"/>
      <c r="C190" s="295"/>
      <c r="D190" s="292"/>
      <c r="E190" s="182" t="s">
        <v>1319</v>
      </c>
      <c r="F190" s="201" t="s">
        <v>1320</v>
      </c>
      <c r="G190" s="201" t="s">
        <v>820</v>
      </c>
      <c r="H190" s="201" t="s">
        <v>820</v>
      </c>
      <c r="I190" s="201" t="s">
        <v>820</v>
      </c>
      <c r="J190" s="10" t="s">
        <v>1317</v>
      </c>
    </row>
    <row r="191" spans="1:10" ht="43.5">
      <c r="A191" s="332">
        <v>13</v>
      </c>
      <c r="B191" s="338" t="s">
        <v>1321</v>
      </c>
      <c r="C191" s="337" t="s">
        <v>1322</v>
      </c>
      <c r="D191" s="292" t="s">
        <v>1323</v>
      </c>
      <c r="E191" s="182" t="s">
        <v>1324</v>
      </c>
      <c r="F191" s="201" t="s">
        <v>1325</v>
      </c>
      <c r="G191" s="239" t="s">
        <v>1326</v>
      </c>
      <c r="H191" s="241" t="s">
        <v>1326</v>
      </c>
      <c r="I191" s="242" t="s">
        <v>1327</v>
      </c>
      <c r="J191" s="10" t="s">
        <v>1328</v>
      </c>
    </row>
    <row r="192" spans="1:10" ht="68" customHeight="1">
      <c r="A192" s="333"/>
      <c r="B192" s="338"/>
      <c r="C192" s="337"/>
      <c r="D192" s="292"/>
      <c r="E192" s="182" t="s">
        <v>1329</v>
      </c>
      <c r="F192" s="201" t="s">
        <v>1330</v>
      </c>
      <c r="G192" s="201" t="s">
        <v>820</v>
      </c>
      <c r="H192" s="201" t="s">
        <v>820</v>
      </c>
      <c r="I192" s="201" t="s">
        <v>820</v>
      </c>
      <c r="J192" s="10" t="s">
        <v>1331</v>
      </c>
    </row>
    <row r="193" spans="1:10" ht="157.5" customHeight="1">
      <c r="A193" s="333"/>
      <c r="B193" s="338"/>
      <c r="C193" s="337"/>
      <c r="D193" s="292"/>
      <c r="E193" s="336" t="s">
        <v>1332</v>
      </c>
      <c r="F193" s="201" t="s">
        <v>1333</v>
      </c>
      <c r="G193" s="238" t="s">
        <v>1334</v>
      </c>
      <c r="H193" s="216" t="s">
        <v>820</v>
      </c>
      <c r="I193" s="281" t="s">
        <v>1335</v>
      </c>
      <c r="J193" s="280" t="s">
        <v>1336</v>
      </c>
    </row>
    <row r="194" spans="1:10" ht="101.5">
      <c r="A194" s="333"/>
      <c r="B194" s="338"/>
      <c r="C194" s="337"/>
      <c r="D194" s="292"/>
      <c r="E194" s="336"/>
      <c r="F194" s="201" t="s">
        <v>1337</v>
      </c>
      <c r="G194" s="201" t="s">
        <v>1338</v>
      </c>
      <c r="H194" s="216" t="s">
        <v>820</v>
      </c>
      <c r="I194" s="225" t="s">
        <v>1339</v>
      </c>
      <c r="J194" s="10" t="s">
        <v>1340</v>
      </c>
    </row>
    <row r="195" spans="1:10" ht="43.5">
      <c r="A195" s="333"/>
      <c r="B195" s="338"/>
      <c r="C195" s="337"/>
      <c r="D195" s="292"/>
      <c r="E195" s="336"/>
      <c r="F195" s="201" t="s">
        <v>1341</v>
      </c>
      <c r="G195" s="201" t="s">
        <v>1342</v>
      </c>
      <c r="H195" s="240" t="s">
        <v>820</v>
      </c>
      <c r="I195" s="247" t="s">
        <v>1343</v>
      </c>
      <c r="J195" s="10" t="s">
        <v>1344</v>
      </c>
    </row>
    <row r="196" spans="1:10" ht="58">
      <c r="A196" s="333"/>
      <c r="B196" s="338"/>
      <c r="C196" s="337"/>
      <c r="D196" s="292"/>
      <c r="E196" s="336"/>
      <c r="F196" s="201" t="s">
        <v>1345</v>
      </c>
      <c r="G196" s="201" t="s">
        <v>1346</v>
      </c>
      <c r="H196" s="240" t="s">
        <v>820</v>
      </c>
      <c r="I196" s="225" t="s">
        <v>1347</v>
      </c>
      <c r="J196" s="10" t="s">
        <v>1348</v>
      </c>
    </row>
    <row r="197" spans="1:10" ht="29">
      <c r="A197" s="333"/>
      <c r="B197" s="338"/>
      <c r="C197" s="337"/>
      <c r="D197" s="335"/>
      <c r="E197" s="182" t="s">
        <v>1349</v>
      </c>
      <c r="F197" s="201" t="s">
        <v>1350</v>
      </c>
      <c r="G197" s="201" t="s">
        <v>820</v>
      </c>
      <c r="H197" s="240" t="s">
        <v>820</v>
      </c>
      <c r="I197" s="225" t="s">
        <v>772</v>
      </c>
      <c r="J197" s="10" t="s">
        <v>1331</v>
      </c>
    </row>
    <row r="198" spans="1:10" ht="44.4" customHeight="1">
      <c r="A198" s="333"/>
      <c r="B198" s="338"/>
      <c r="C198" s="337"/>
      <c r="D198" s="335"/>
      <c r="E198" s="182" t="s">
        <v>1351</v>
      </c>
      <c r="F198" s="201" t="s">
        <v>1352</v>
      </c>
      <c r="G198" s="201" t="s">
        <v>1353</v>
      </c>
      <c r="H198" s="201" t="s">
        <v>820</v>
      </c>
      <c r="I198" s="203" t="s">
        <v>1354</v>
      </c>
      <c r="J198" s="10" t="s">
        <v>1355</v>
      </c>
    </row>
    <row r="199" spans="1:10" ht="41.4" customHeight="1">
      <c r="A199" s="331">
        <v>14</v>
      </c>
      <c r="B199" s="291" t="s">
        <v>1356</v>
      </c>
      <c r="C199" s="408" t="s">
        <v>1357</v>
      </c>
      <c r="D199" s="335" t="s">
        <v>1358</v>
      </c>
      <c r="E199" s="215" t="s">
        <v>1359</v>
      </c>
      <c r="F199" s="216" t="s">
        <v>1360</v>
      </c>
      <c r="G199" s="240" t="s">
        <v>820</v>
      </c>
      <c r="H199" s="240" t="s">
        <v>820</v>
      </c>
      <c r="I199" s="217" t="s">
        <v>1361</v>
      </c>
      <c r="J199" s="215" t="s">
        <v>1362</v>
      </c>
    </row>
    <row r="200" spans="1:10" ht="43.5">
      <c r="A200" s="331"/>
      <c r="B200" s="291"/>
      <c r="C200" s="409"/>
      <c r="D200" s="335"/>
      <c r="E200" s="215" t="s">
        <v>1363</v>
      </c>
      <c r="F200" s="216" t="s">
        <v>1364</v>
      </c>
      <c r="G200" s="240" t="s">
        <v>820</v>
      </c>
      <c r="H200" s="240" t="s">
        <v>820</v>
      </c>
      <c r="I200" s="217" t="s">
        <v>744</v>
      </c>
      <c r="J200" s="215" t="s">
        <v>1365</v>
      </c>
    </row>
    <row r="201" spans="1:10" ht="86.4" customHeight="1">
      <c r="A201" s="331"/>
      <c r="B201" s="291"/>
      <c r="C201" s="409"/>
      <c r="D201" s="335"/>
      <c r="E201" s="339" t="s">
        <v>1366</v>
      </c>
      <c r="F201" s="216" t="s">
        <v>1367</v>
      </c>
      <c r="G201" s="240" t="s">
        <v>820</v>
      </c>
      <c r="H201" s="240" t="s">
        <v>820</v>
      </c>
      <c r="I201" s="217" t="s">
        <v>745</v>
      </c>
      <c r="J201" s="217" t="s">
        <v>745</v>
      </c>
    </row>
    <row r="202" spans="1:10" ht="14.5">
      <c r="A202" s="331"/>
      <c r="B202" s="291"/>
      <c r="C202" s="409"/>
      <c r="D202" s="335"/>
      <c r="E202" s="339"/>
      <c r="F202" s="216" t="s">
        <v>1368</v>
      </c>
      <c r="G202" s="240" t="s">
        <v>820</v>
      </c>
      <c r="H202" s="240" t="s">
        <v>820</v>
      </c>
      <c r="I202" s="216" t="s">
        <v>1369</v>
      </c>
      <c r="J202" s="216" t="s">
        <v>1369</v>
      </c>
    </row>
    <row r="203" spans="1:10" ht="57.65" customHeight="1">
      <c r="A203" s="331"/>
      <c r="B203" s="291"/>
      <c r="C203" s="409"/>
      <c r="D203" s="335"/>
      <c r="E203" s="339" t="s">
        <v>1370</v>
      </c>
      <c r="F203" s="216" t="s">
        <v>1371</v>
      </c>
      <c r="G203" s="240" t="s">
        <v>820</v>
      </c>
      <c r="H203" s="240" t="s">
        <v>820</v>
      </c>
      <c r="I203" s="216" t="s">
        <v>1372</v>
      </c>
      <c r="J203" s="216" t="s">
        <v>1373</v>
      </c>
    </row>
    <row r="204" spans="1:10" ht="14.5">
      <c r="A204" s="331"/>
      <c r="B204" s="291"/>
      <c r="C204" s="409"/>
      <c r="D204" s="335"/>
      <c r="E204" s="339"/>
      <c r="F204" s="216" t="s">
        <v>1374</v>
      </c>
      <c r="G204" s="240" t="s">
        <v>820</v>
      </c>
      <c r="H204" s="240" t="s">
        <v>820</v>
      </c>
      <c r="I204" s="216" t="s">
        <v>1375</v>
      </c>
      <c r="J204" s="216" t="s">
        <v>1376</v>
      </c>
    </row>
    <row r="205" spans="1:10" ht="29">
      <c r="A205" s="331"/>
      <c r="B205" s="291"/>
      <c r="C205" s="410"/>
      <c r="D205" s="335"/>
      <c r="E205" s="215" t="s">
        <v>1377</v>
      </c>
      <c r="F205" s="216" t="s">
        <v>1378</v>
      </c>
      <c r="G205" s="240" t="s">
        <v>820</v>
      </c>
      <c r="H205" s="240" t="s">
        <v>820</v>
      </c>
      <c r="I205" s="216" t="s">
        <v>820</v>
      </c>
      <c r="J205" s="216" t="s">
        <v>820</v>
      </c>
    </row>
    <row r="206" spans="1:10" ht="101" customHeight="1">
      <c r="A206" s="331"/>
      <c r="B206" s="291"/>
      <c r="C206" s="408" t="s">
        <v>1379</v>
      </c>
      <c r="D206" s="335" t="s">
        <v>1379</v>
      </c>
      <c r="E206" s="334" t="s">
        <v>1380</v>
      </c>
      <c r="F206" s="203" t="s">
        <v>1381</v>
      </c>
      <c r="G206" s="201" t="s">
        <v>820</v>
      </c>
      <c r="H206" s="201" t="s">
        <v>820</v>
      </c>
      <c r="I206" s="201" t="s">
        <v>1382</v>
      </c>
      <c r="J206" s="215" t="s">
        <v>889</v>
      </c>
    </row>
    <row r="207" spans="1:10" ht="58">
      <c r="A207" s="331"/>
      <c r="B207" s="291"/>
      <c r="C207" s="409"/>
      <c r="D207" s="335"/>
      <c r="E207" s="334"/>
      <c r="F207" s="203" t="s">
        <v>1383</v>
      </c>
      <c r="G207" s="201" t="s">
        <v>820</v>
      </c>
      <c r="H207" s="201" t="s">
        <v>820</v>
      </c>
      <c r="I207" s="216" t="s">
        <v>1382</v>
      </c>
      <c r="J207" s="215" t="s">
        <v>889</v>
      </c>
    </row>
    <row r="208" spans="1:10" ht="43.25" customHeight="1">
      <c r="A208" s="331"/>
      <c r="B208" s="291"/>
      <c r="C208" s="409"/>
      <c r="D208" s="335"/>
      <c r="E208" s="334" t="s">
        <v>1384</v>
      </c>
      <c r="F208" s="203" t="s">
        <v>1385</v>
      </c>
      <c r="G208" s="201" t="s">
        <v>820</v>
      </c>
      <c r="H208" s="201" t="s">
        <v>820</v>
      </c>
      <c r="I208" s="201" t="s">
        <v>820</v>
      </c>
      <c r="J208" s="215" t="s">
        <v>889</v>
      </c>
    </row>
    <row r="209" spans="1:10" ht="29">
      <c r="A209" s="331"/>
      <c r="B209" s="291"/>
      <c r="C209" s="409"/>
      <c r="D209" s="335"/>
      <c r="E209" s="334"/>
      <c r="F209" s="203" t="s">
        <v>1386</v>
      </c>
      <c r="G209" s="201" t="s">
        <v>820</v>
      </c>
      <c r="H209" s="201" t="s">
        <v>820</v>
      </c>
      <c r="I209" s="201" t="s">
        <v>820</v>
      </c>
      <c r="J209" s="215" t="s">
        <v>889</v>
      </c>
    </row>
    <row r="210" spans="1:10" ht="43.5">
      <c r="A210" s="331"/>
      <c r="B210" s="291"/>
      <c r="C210" s="410"/>
      <c r="D210" s="335"/>
      <c r="E210" s="334"/>
      <c r="F210" s="203" t="s">
        <v>1387</v>
      </c>
      <c r="G210" s="201" t="s">
        <v>820</v>
      </c>
      <c r="H210" s="201" t="s">
        <v>820</v>
      </c>
      <c r="I210" s="201" t="s">
        <v>820</v>
      </c>
      <c r="J210" s="215" t="s">
        <v>889</v>
      </c>
    </row>
    <row r="211" spans="1:10" ht="14.4" customHeight="1">
      <c r="A211" s="331"/>
      <c r="B211" s="291"/>
      <c r="C211" s="408" t="s">
        <v>1388</v>
      </c>
      <c r="D211" s="335" t="s">
        <v>1388</v>
      </c>
      <c r="E211" s="10" t="s">
        <v>1389</v>
      </c>
      <c r="F211" s="203" t="s">
        <v>1390</v>
      </c>
      <c r="G211" s="201" t="s">
        <v>820</v>
      </c>
      <c r="H211" s="201" t="s">
        <v>820</v>
      </c>
      <c r="I211" s="201" t="s">
        <v>820</v>
      </c>
      <c r="J211" s="10" t="s">
        <v>1391</v>
      </c>
    </row>
    <row r="212" spans="1:10" ht="53.25" customHeight="1">
      <c r="A212" s="331"/>
      <c r="B212" s="291"/>
      <c r="C212" s="409"/>
      <c r="D212" s="335"/>
      <c r="E212" s="334" t="s">
        <v>1392</v>
      </c>
      <c r="F212" s="203" t="s">
        <v>1393</v>
      </c>
      <c r="G212" s="201" t="s">
        <v>820</v>
      </c>
      <c r="H212" s="201" t="s">
        <v>820</v>
      </c>
      <c r="I212" s="201" t="s">
        <v>820</v>
      </c>
      <c r="J212" s="201" t="s">
        <v>820</v>
      </c>
    </row>
    <row r="213" spans="1:10" ht="65.25" customHeight="1">
      <c r="A213" s="331"/>
      <c r="B213" s="291"/>
      <c r="C213" s="410"/>
      <c r="D213" s="335"/>
      <c r="E213" s="334"/>
      <c r="F213" s="203" t="s">
        <v>1394</v>
      </c>
      <c r="G213" s="201" t="s">
        <v>820</v>
      </c>
      <c r="H213" s="201" t="s">
        <v>820</v>
      </c>
      <c r="I213" s="201" t="s">
        <v>820</v>
      </c>
      <c r="J213" s="250" t="s">
        <v>820</v>
      </c>
    </row>
    <row r="214" spans="1:10" ht="71.25" customHeight="1">
      <c r="A214" s="173">
        <v>15</v>
      </c>
      <c r="B214" s="291" t="s">
        <v>1395</v>
      </c>
      <c r="C214" s="400" t="s">
        <v>1396</v>
      </c>
      <c r="D214" s="388" t="s">
        <v>1397</v>
      </c>
      <c r="E214" s="204" t="s">
        <v>1398</v>
      </c>
      <c r="F214" s="319" t="s">
        <v>1399</v>
      </c>
      <c r="G214" s="10"/>
      <c r="H214" s="10"/>
      <c r="I214" s="312" t="s">
        <v>1400</v>
      </c>
      <c r="J214" s="394" t="s">
        <v>1401</v>
      </c>
    </row>
    <row r="215" spans="1:10" ht="71.25" customHeight="1">
      <c r="B215" s="291"/>
      <c r="C215" s="400"/>
      <c r="D215" s="388"/>
      <c r="E215" s="204" t="s">
        <v>1402</v>
      </c>
      <c r="F215" s="320"/>
      <c r="G215" s="10"/>
      <c r="H215" s="10"/>
      <c r="I215" s="313"/>
      <c r="J215" s="394"/>
    </row>
    <row r="216" spans="1:10" ht="30" customHeight="1">
      <c r="B216" s="291"/>
      <c r="C216" s="400"/>
      <c r="D216" s="388"/>
      <c r="E216" s="10" t="s">
        <v>1403</v>
      </c>
      <c r="F216" s="392"/>
      <c r="G216" s="10"/>
      <c r="H216" s="10"/>
      <c r="I216" s="313"/>
      <c r="J216" s="313" t="s">
        <v>1404</v>
      </c>
    </row>
    <row r="217" spans="1:10" ht="45" customHeight="1">
      <c r="B217" s="291"/>
      <c r="C217" s="400"/>
      <c r="D217" s="388"/>
      <c r="E217" s="10" t="s">
        <v>1405</v>
      </c>
      <c r="F217" s="393" t="s">
        <v>1406</v>
      </c>
      <c r="G217" s="10"/>
      <c r="H217" s="10"/>
      <c r="I217" s="313"/>
      <c r="J217" s="314"/>
    </row>
    <row r="218" spans="1:10" ht="55.5" customHeight="1">
      <c r="B218" s="291"/>
      <c r="C218" s="400"/>
      <c r="D218" s="388"/>
      <c r="E218" s="10" t="s">
        <v>1407</v>
      </c>
      <c r="F218" s="321"/>
      <c r="G218" s="10"/>
      <c r="H218" s="10"/>
      <c r="I218" s="314"/>
      <c r="J218" s="220" t="s">
        <v>1408</v>
      </c>
    </row>
    <row r="219" spans="1:10" ht="71.25" customHeight="1">
      <c r="B219" s="291"/>
      <c r="C219" s="400" t="s">
        <v>1409</v>
      </c>
      <c r="D219" s="388" t="s">
        <v>1410</v>
      </c>
      <c r="E219" s="10" t="s">
        <v>1411</v>
      </c>
      <c r="F219" s="319" t="s">
        <v>1412</v>
      </c>
      <c r="G219" s="10"/>
      <c r="H219" s="10"/>
      <c r="I219" s="315" t="s">
        <v>1413</v>
      </c>
      <c r="J219" s="395" t="s">
        <v>1414</v>
      </c>
    </row>
    <row r="220" spans="1:10" ht="114.75" customHeight="1">
      <c r="B220" s="291"/>
      <c r="C220" s="400"/>
      <c r="D220" s="388"/>
      <c r="E220" s="10" t="s">
        <v>1415</v>
      </c>
      <c r="F220" s="320"/>
      <c r="G220" s="10"/>
      <c r="H220" s="10"/>
      <c r="I220" s="316"/>
      <c r="J220" s="396"/>
    </row>
    <row r="221" spans="1:10" ht="91.5" customHeight="1">
      <c r="B221" s="291"/>
      <c r="C221" s="400"/>
      <c r="D221" s="388"/>
      <c r="E221" s="10" t="s">
        <v>1416</v>
      </c>
      <c r="F221" s="320"/>
      <c r="G221" s="10"/>
      <c r="H221" s="10"/>
      <c r="I221" s="316"/>
      <c r="J221" s="396"/>
    </row>
    <row r="222" spans="1:10" ht="82.5" customHeight="1">
      <c r="B222" s="291"/>
      <c r="C222" s="400"/>
      <c r="D222" s="388"/>
      <c r="E222" s="10" t="s">
        <v>1417</v>
      </c>
      <c r="F222" s="320"/>
      <c r="G222" s="10"/>
      <c r="H222" s="10"/>
      <c r="I222" s="316"/>
      <c r="J222" s="251" t="s">
        <v>1418</v>
      </c>
    </row>
    <row r="223" spans="1:10" ht="108" customHeight="1">
      <c r="B223" s="291"/>
      <c r="C223" s="401"/>
      <c r="D223" s="319"/>
      <c r="E223" s="199" t="s">
        <v>1419</v>
      </c>
      <c r="F223" s="320"/>
      <c r="G223" s="199"/>
      <c r="H223" s="199"/>
      <c r="I223" s="317"/>
      <c r="J223" s="252" t="s">
        <v>1420</v>
      </c>
    </row>
    <row r="224" spans="1:10" ht="37.5">
      <c r="B224" s="291"/>
      <c r="C224" s="390" t="s">
        <v>1421</v>
      </c>
      <c r="D224" s="388" t="s">
        <v>1422</v>
      </c>
      <c r="E224" s="253" t="s">
        <v>1423</v>
      </c>
      <c r="F224" s="206" t="s">
        <v>1424</v>
      </c>
      <c r="G224" s="205"/>
      <c r="H224" s="205"/>
      <c r="I224" s="287"/>
      <c r="J224" s="254" t="s">
        <v>1354</v>
      </c>
    </row>
    <row r="225" spans="2:10" ht="54" customHeight="1">
      <c r="B225" s="291"/>
      <c r="C225" s="390"/>
      <c r="D225" s="388"/>
      <c r="E225" s="398" t="s">
        <v>1425</v>
      </c>
      <c r="F225" s="206" t="s">
        <v>1426</v>
      </c>
      <c r="G225" s="205"/>
      <c r="H225" s="205"/>
      <c r="I225" s="288"/>
      <c r="J225" s="254" t="s">
        <v>1354</v>
      </c>
    </row>
    <row r="226" spans="2:10" ht="31.5" customHeight="1">
      <c r="B226" s="291"/>
      <c r="C226" s="397"/>
      <c r="D226" s="388"/>
      <c r="E226" s="399"/>
      <c r="F226" s="208" t="s">
        <v>1427</v>
      </c>
      <c r="G226" s="209"/>
      <c r="H226" s="209"/>
      <c r="I226" s="318"/>
      <c r="J226" s="256" t="s">
        <v>820</v>
      </c>
    </row>
    <row r="227" spans="2:10" ht="37.5" customHeight="1">
      <c r="B227" s="291"/>
      <c r="C227" s="386" t="s">
        <v>1428</v>
      </c>
      <c r="D227" s="388" t="s">
        <v>1429</v>
      </c>
      <c r="E227" s="258" t="s">
        <v>1430</v>
      </c>
      <c r="F227" s="287" t="s">
        <v>1431</v>
      </c>
      <c r="G227" s="205"/>
      <c r="H227" s="207"/>
      <c r="I227" s="319" t="s">
        <v>1432</v>
      </c>
      <c r="J227" s="230"/>
    </row>
    <row r="228" spans="2:10" ht="25">
      <c r="B228" s="291"/>
      <c r="C228" s="389"/>
      <c r="D228" s="388"/>
      <c r="E228" s="258" t="s">
        <v>1433</v>
      </c>
      <c r="F228" s="288"/>
      <c r="G228" s="205"/>
      <c r="H228" s="207"/>
      <c r="I228" s="320"/>
      <c r="J228" s="230"/>
    </row>
    <row r="229" spans="2:10" ht="14.5">
      <c r="B229" s="291"/>
      <c r="C229" s="389"/>
      <c r="D229" s="388"/>
      <c r="E229" s="259" t="s">
        <v>1434</v>
      </c>
      <c r="F229" s="288"/>
      <c r="G229" s="209"/>
      <c r="H229" s="210"/>
      <c r="I229" s="321"/>
      <c r="J229" s="231"/>
    </row>
    <row r="230" spans="2:10" ht="37.5">
      <c r="B230" s="291"/>
      <c r="C230" s="390" t="s">
        <v>1435</v>
      </c>
      <c r="D230" s="205"/>
      <c r="E230" s="258" t="s">
        <v>1436</v>
      </c>
      <c r="F230" s="287" t="s">
        <v>1437</v>
      </c>
      <c r="G230" s="205"/>
      <c r="H230" s="205"/>
      <c r="I230" s="322" t="s">
        <v>1438</v>
      </c>
      <c r="J230" s="391" t="s">
        <v>1439</v>
      </c>
    </row>
    <row r="231" spans="2:10" ht="25">
      <c r="B231" s="291"/>
      <c r="C231" s="385"/>
      <c r="D231" s="205"/>
      <c r="E231" s="258" t="s">
        <v>1440</v>
      </c>
      <c r="F231" s="288"/>
      <c r="G231" s="205"/>
      <c r="H231" s="205"/>
      <c r="I231" s="322"/>
      <c r="J231" s="313"/>
    </row>
    <row r="232" spans="2:10" ht="50">
      <c r="B232" s="291"/>
      <c r="C232" s="385"/>
      <c r="D232" s="205"/>
      <c r="E232" s="258" t="s">
        <v>1441</v>
      </c>
      <c r="F232" s="288"/>
      <c r="G232" s="205"/>
      <c r="H232" s="205"/>
      <c r="I232" s="322"/>
      <c r="J232" s="313"/>
    </row>
    <row r="233" spans="2:10" ht="46.5" customHeight="1">
      <c r="B233" s="291"/>
      <c r="C233" s="386"/>
      <c r="D233" s="209"/>
      <c r="E233" s="260" t="s">
        <v>1442</v>
      </c>
      <c r="F233" s="288"/>
      <c r="G233" s="209"/>
      <c r="H233" s="209"/>
      <c r="I233" s="323"/>
      <c r="J233" s="313"/>
    </row>
    <row r="234" spans="2:10" ht="25">
      <c r="B234" s="291"/>
      <c r="C234" s="386" t="s">
        <v>1443</v>
      </c>
      <c r="D234" s="324" t="s">
        <v>1444</v>
      </c>
      <c r="E234" s="261" t="s">
        <v>1445</v>
      </c>
      <c r="F234" s="415" t="s">
        <v>1446</v>
      </c>
      <c r="G234" s="205"/>
      <c r="H234" s="205"/>
      <c r="I234" s="287" t="s">
        <v>1447</v>
      </c>
      <c r="J234" s="232"/>
    </row>
    <row r="235" spans="2:10" ht="25">
      <c r="B235" s="291"/>
      <c r="C235" s="389"/>
      <c r="D235" s="288"/>
      <c r="E235" s="261" t="s">
        <v>1448</v>
      </c>
      <c r="F235" s="416"/>
      <c r="G235" s="205"/>
      <c r="H235" s="205"/>
      <c r="I235" s="288"/>
      <c r="J235" s="232"/>
    </row>
    <row r="236" spans="2:10" ht="24" customHeight="1">
      <c r="B236" s="291"/>
      <c r="C236" s="389"/>
      <c r="D236" s="288"/>
      <c r="E236" s="418" t="s">
        <v>1449</v>
      </c>
      <c r="F236" s="416"/>
      <c r="G236" s="205"/>
      <c r="H236" s="205"/>
      <c r="I236" s="288"/>
      <c r="J236" s="232"/>
    </row>
    <row r="237" spans="2:10" ht="14.5">
      <c r="B237" s="291"/>
      <c r="C237" s="389"/>
      <c r="D237" s="289"/>
      <c r="E237" s="419"/>
      <c r="F237" s="417"/>
      <c r="G237" s="209"/>
      <c r="H237" s="209"/>
      <c r="I237" s="289"/>
      <c r="J237" s="233"/>
    </row>
    <row r="238" spans="2:10" ht="83.25" customHeight="1">
      <c r="B238" s="291"/>
      <c r="C238" s="257" t="s">
        <v>1450</v>
      </c>
      <c r="D238" s="262" t="s">
        <v>1451</v>
      </c>
      <c r="E238" s="263" t="s">
        <v>1452</v>
      </c>
      <c r="F238" s="208" t="s">
        <v>1453</v>
      </c>
      <c r="G238" s="209"/>
      <c r="H238" s="209"/>
      <c r="I238" s="209" t="s">
        <v>1454</v>
      </c>
      <c r="J238" s="222" t="s">
        <v>1455</v>
      </c>
    </row>
    <row r="239" spans="2:10" ht="37.5">
      <c r="B239" s="291"/>
      <c r="C239" s="385" t="s">
        <v>1456</v>
      </c>
      <c r="D239" s="301" t="s">
        <v>1457</v>
      </c>
      <c r="E239" s="261" t="s">
        <v>1458</v>
      </c>
      <c r="F239" s="387" t="s">
        <v>1459</v>
      </c>
      <c r="G239" s="205"/>
      <c r="H239" s="205"/>
      <c r="I239" s="283" t="s">
        <v>1460</v>
      </c>
      <c r="J239" s="283" t="s">
        <v>1461</v>
      </c>
    </row>
    <row r="240" spans="2:10" ht="25">
      <c r="B240" s="291"/>
      <c r="C240" s="386"/>
      <c r="D240" s="302"/>
      <c r="E240" s="264" t="s">
        <v>1462</v>
      </c>
      <c r="F240" s="287"/>
      <c r="G240" s="209"/>
      <c r="H240" s="209"/>
      <c r="I240" s="284"/>
      <c r="J240" s="285"/>
    </row>
    <row r="241" spans="2:10" ht="37.5">
      <c r="B241" s="291"/>
      <c r="C241" s="385" t="s">
        <v>1463</v>
      </c>
      <c r="D241" s="303" t="s">
        <v>1464</v>
      </c>
      <c r="E241" s="261" t="s">
        <v>1465</v>
      </c>
      <c r="F241" s="287" t="s">
        <v>1466</v>
      </c>
      <c r="G241" s="205"/>
      <c r="H241" s="205"/>
      <c r="I241" s="236" t="s">
        <v>1467</v>
      </c>
      <c r="J241" s="222" t="s">
        <v>1354</v>
      </c>
    </row>
    <row r="242" spans="2:10" ht="26">
      <c r="B242" s="291"/>
      <c r="C242" s="385"/>
      <c r="D242" s="304"/>
      <c r="E242" s="261" t="s">
        <v>1468</v>
      </c>
      <c r="F242" s="288"/>
      <c r="G242" s="205"/>
      <c r="H242" s="207"/>
      <c r="I242" s="290" t="s">
        <v>1469</v>
      </c>
      <c r="J242" s="237" t="s">
        <v>1354</v>
      </c>
    </row>
    <row r="243" spans="2:10" ht="26">
      <c r="B243" s="291"/>
      <c r="C243" s="385"/>
      <c r="D243" s="304"/>
      <c r="E243" s="261" t="s">
        <v>1470</v>
      </c>
      <c r="F243" s="288"/>
      <c r="G243" s="205"/>
      <c r="H243" s="207"/>
      <c r="I243" s="290"/>
      <c r="J243" s="237" t="s">
        <v>1354</v>
      </c>
    </row>
    <row r="244" spans="2:10" ht="38.5">
      <c r="B244" s="291"/>
      <c r="C244" s="385"/>
      <c r="D244" s="304"/>
      <c r="E244" s="261" t="s">
        <v>1471</v>
      </c>
      <c r="F244" s="288"/>
      <c r="G244" s="205"/>
      <c r="H244" s="207"/>
      <c r="I244" s="290"/>
      <c r="J244" s="237" t="s">
        <v>1354</v>
      </c>
    </row>
    <row r="245" spans="2:10" ht="14.5">
      <c r="B245" s="291"/>
      <c r="C245" s="386"/>
      <c r="D245" s="305"/>
      <c r="E245" s="265" t="s">
        <v>1472</v>
      </c>
      <c r="F245" s="289"/>
      <c r="G245" s="209"/>
      <c r="H245" s="210"/>
      <c r="I245" s="290"/>
      <c r="J245" s="237" t="s">
        <v>1354</v>
      </c>
    </row>
    <row r="246" spans="2:10" ht="37.5">
      <c r="B246" s="291"/>
      <c r="C246" s="385" t="s">
        <v>1473</v>
      </c>
      <c r="D246" s="303" t="s">
        <v>1474</v>
      </c>
      <c r="E246" s="261" t="s">
        <v>1475</v>
      </c>
      <c r="F246" s="413" t="s">
        <v>1476</v>
      </c>
      <c r="G246" s="205"/>
      <c r="H246" s="205"/>
      <c r="I246" s="285" t="s">
        <v>1477</v>
      </c>
      <c r="J246" s="285" t="s">
        <v>1478</v>
      </c>
    </row>
    <row r="247" spans="2:10" ht="37.5">
      <c r="B247" s="291"/>
      <c r="C247" s="386"/>
      <c r="D247" s="305"/>
      <c r="E247" s="264" t="s">
        <v>1479</v>
      </c>
      <c r="F247" s="414"/>
      <c r="G247" s="209"/>
      <c r="H247" s="209"/>
      <c r="I247" s="286"/>
      <c r="J247" s="285"/>
    </row>
    <row r="248" spans="2:10" ht="30.75" customHeight="1">
      <c r="B248" s="291"/>
      <c r="C248" s="385" t="s">
        <v>1480</v>
      </c>
      <c r="D248" s="303" t="s">
        <v>1481</v>
      </c>
      <c r="E248" s="261" t="s">
        <v>1482</v>
      </c>
      <c r="F248" s="387" t="s">
        <v>1483</v>
      </c>
      <c r="G248" s="205"/>
      <c r="H248" s="205"/>
      <c r="I248" s="283" t="s">
        <v>1484</v>
      </c>
      <c r="J248" s="283" t="s">
        <v>1485</v>
      </c>
    </row>
    <row r="249" spans="2:10" ht="14.5">
      <c r="B249" s="291"/>
      <c r="C249" s="386"/>
      <c r="D249" s="305"/>
      <c r="E249" s="265" t="s">
        <v>1486</v>
      </c>
      <c r="F249" s="287"/>
      <c r="G249" s="209"/>
      <c r="H249" s="209"/>
      <c r="I249" s="286"/>
      <c r="J249" s="285"/>
    </row>
    <row r="250" spans="2:10" ht="50">
      <c r="B250" s="291"/>
      <c r="C250" s="385" t="s">
        <v>1487</v>
      </c>
      <c r="D250" s="306" t="s">
        <v>1488</v>
      </c>
      <c r="E250" s="261" t="s">
        <v>1489</v>
      </c>
      <c r="F250" s="387" t="s">
        <v>1490</v>
      </c>
      <c r="G250" s="205"/>
      <c r="H250" s="205"/>
      <c r="I250" s="287" t="s">
        <v>1354</v>
      </c>
      <c r="J250" s="221" t="s">
        <v>1491</v>
      </c>
    </row>
    <row r="251" spans="2:10" ht="25">
      <c r="B251" s="291"/>
      <c r="C251" s="385"/>
      <c r="D251" s="307"/>
      <c r="E251" s="261" t="s">
        <v>1492</v>
      </c>
      <c r="F251" s="387"/>
      <c r="G251" s="205"/>
      <c r="H251" s="205"/>
      <c r="I251" s="288"/>
      <c r="J251" s="221" t="s">
        <v>1493</v>
      </c>
    </row>
    <row r="252" spans="2:10" ht="25">
      <c r="B252" s="291"/>
      <c r="C252" s="385"/>
      <c r="D252" s="308"/>
      <c r="E252" s="261" t="s">
        <v>1494</v>
      </c>
      <c r="F252" s="387"/>
      <c r="G252" s="205"/>
      <c r="H252" s="205"/>
      <c r="I252" s="289"/>
      <c r="J252" s="221" t="s">
        <v>1495</v>
      </c>
    </row>
    <row r="253" spans="2:10" ht="51" customHeight="1">
      <c r="B253" s="291"/>
      <c r="C253" s="255" t="s">
        <v>1496</v>
      </c>
      <c r="D253" s="214" t="s">
        <v>1497</v>
      </c>
      <c r="E253" s="262" t="s">
        <v>1498</v>
      </c>
      <c r="F253" s="266" t="s">
        <v>1499</v>
      </c>
      <c r="G253" s="209"/>
      <c r="H253" s="209"/>
      <c r="I253" s="209" t="s">
        <v>1500</v>
      </c>
      <c r="J253" s="267" t="s">
        <v>1501</v>
      </c>
    </row>
    <row r="254" spans="2:10" ht="39" customHeight="1">
      <c r="B254" s="291"/>
      <c r="C254" s="402" t="s">
        <v>1502</v>
      </c>
      <c r="D254" s="306" t="s">
        <v>1503</v>
      </c>
      <c r="E254" s="261" t="s">
        <v>1504</v>
      </c>
      <c r="F254" s="404" t="s">
        <v>1505</v>
      </c>
      <c r="G254" s="205"/>
      <c r="H254" s="205"/>
      <c r="I254" s="283" t="s">
        <v>730</v>
      </c>
      <c r="J254" s="268" t="s">
        <v>1506</v>
      </c>
    </row>
    <row r="255" spans="2:10" ht="25">
      <c r="B255" s="291"/>
      <c r="C255" s="402"/>
      <c r="D255" s="307"/>
      <c r="E255" s="261" t="s">
        <v>1507</v>
      </c>
      <c r="F255" s="387"/>
      <c r="G255" s="205"/>
      <c r="H255" s="205"/>
      <c r="I255" s="285"/>
      <c r="J255" s="234"/>
    </row>
    <row r="256" spans="2:10" ht="25">
      <c r="B256" s="291"/>
      <c r="C256" s="403"/>
      <c r="D256" s="308"/>
      <c r="E256" s="264" t="s">
        <v>1508</v>
      </c>
      <c r="F256" s="287"/>
      <c r="G256" s="209"/>
      <c r="H256" s="209"/>
      <c r="I256" s="286"/>
      <c r="J256" s="235"/>
    </row>
    <row r="257" spans="2:10" ht="25.5" customHeight="1">
      <c r="B257" s="291"/>
      <c r="C257" s="385" t="s">
        <v>1509</v>
      </c>
      <c r="D257" s="309" t="s">
        <v>1510</v>
      </c>
      <c r="E257" s="270" t="s">
        <v>1511</v>
      </c>
      <c r="F257" s="387" t="s">
        <v>1512</v>
      </c>
      <c r="G257" s="212"/>
      <c r="H257" s="205"/>
      <c r="I257" s="287" t="s">
        <v>1513</v>
      </c>
      <c r="J257" s="405" t="s">
        <v>1513</v>
      </c>
    </row>
    <row r="258" spans="2:10" ht="14.5">
      <c r="B258" s="291"/>
      <c r="C258" s="385"/>
      <c r="D258" s="310"/>
      <c r="E258" s="270" t="s">
        <v>1514</v>
      </c>
      <c r="F258" s="387"/>
      <c r="G258" s="212"/>
      <c r="H258" s="205"/>
      <c r="I258" s="288"/>
      <c r="J258" s="405"/>
    </row>
    <row r="259" spans="2:10" ht="37.5">
      <c r="B259" s="291"/>
      <c r="C259" s="386"/>
      <c r="D259" s="311"/>
      <c r="E259" s="271" t="s">
        <v>1515</v>
      </c>
      <c r="F259" s="387"/>
      <c r="G259" s="213"/>
      <c r="H259" s="209"/>
      <c r="I259" s="289"/>
      <c r="J259" s="283"/>
    </row>
    <row r="260" spans="2:10" ht="25">
      <c r="B260" s="291"/>
      <c r="C260" s="385" t="s">
        <v>1516</v>
      </c>
      <c r="D260" s="306" t="s">
        <v>1517</v>
      </c>
      <c r="E260" s="270" t="s">
        <v>1518</v>
      </c>
      <c r="F260" s="406" t="s">
        <v>1519</v>
      </c>
      <c r="G260" s="212"/>
      <c r="H260" s="205"/>
      <c r="I260" s="283" t="s">
        <v>1520</v>
      </c>
      <c r="J260" s="411" t="s">
        <v>1521</v>
      </c>
    </row>
    <row r="261" spans="2:10" ht="32.25" customHeight="1">
      <c r="B261" s="291"/>
      <c r="C261" s="386"/>
      <c r="D261" s="308"/>
      <c r="E261" s="271" t="s">
        <v>1522</v>
      </c>
      <c r="F261" s="407"/>
      <c r="G261" s="213"/>
      <c r="H261" s="209"/>
      <c r="I261" s="286"/>
      <c r="J261" s="412"/>
    </row>
    <row r="262" spans="2:10" ht="27.75" customHeight="1">
      <c r="B262" s="291"/>
      <c r="C262" s="385" t="s">
        <v>1523</v>
      </c>
      <c r="D262" s="306" t="s">
        <v>1524</v>
      </c>
      <c r="E262" s="299" t="s">
        <v>1525</v>
      </c>
      <c r="F262" s="420" t="s">
        <v>1526</v>
      </c>
      <c r="G262" s="205"/>
      <c r="H262" s="205"/>
      <c r="I262" s="283" t="s">
        <v>1527</v>
      </c>
      <c r="J262" s="398" t="s">
        <v>1528</v>
      </c>
    </row>
    <row r="263" spans="2:10" ht="14.5">
      <c r="B263" s="291"/>
      <c r="C263" s="385"/>
      <c r="D263" s="307"/>
      <c r="E263" s="300" t="s">
        <v>1529</v>
      </c>
      <c r="F263" s="420"/>
      <c r="G263" s="205"/>
      <c r="H263" s="205"/>
      <c r="I263" s="285"/>
      <c r="J263" s="398"/>
    </row>
    <row r="264" spans="2:10" ht="14.5">
      <c r="B264" s="291"/>
      <c r="C264" s="386"/>
      <c r="D264" s="308"/>
      <c r="E264" s="272" t="s">
        <v>1530</v>
      </c>
      <c r="F264" s="421"/>
      <c r="G264" s="209"/>
      <c r="H264" s="209"/>
      <c r="I264" s="286"/>
      <c r="J264" s="398"/>
    </row>
    <row r="265" spans="2:10" ht="14.5">
      <c r="B265" s="291"/>
      <c r="C265" s="402" t="s">
        <v>1531</v>
      </c>
      <c r="D265" s="303" t="s">
        <v>1532</v>
      </c>
      <c r="E265" s="299" t="s">
        <v>1533</v>
      </c>
      <c r="F265" s="422" t="s">
        <v>1534</v>
      </c>
      <c r="G265" s="205"/>
      <c r="H265" s="205"/>
      <c r="I265" s="287" t="s">
        <v>1535</v>
      </c>
      <c r="J265" s="411" t="s">
        <v>1536</v>
      </c>
    </row>
    <row r="266" spans="2:10" ht="14.5">
      <c r="B266" s="291"/>
      <c r="C266" s="403"/>
      <c r="D266" s="305"/>
      <c r="E266" s="300"/>
      <c r="F266" s="413"/>
      <c r="G266" s="209"/>
      <c r="H266" s="209"/>
      <c r="I266" s="289"/>
      <c r="J266" s="423"/>
    </row>
    <row r="267" spans="2:10" ht="15" customHeight="1">
      <c r="B267" s="291"/>
      <c r="C267" s="403" t="s">
        <v>1537</v>
      </c>
      <c r="D267" s="306" t="s">
        <v>1538</v>
      </c>
      <c r="E267" s="399" t="s">
        <v>1539</v>
      </c>
      <c r="F267" s="387" t="s">
        <v>1540</v>
      </c>
      <c r="G267" s="205"/>
      <c r="H267" s="205"/>
      <c r="I267" s="283" t="s">
        <v>734</v>
      </c>
      <c r="J267" s="273" t="s">
        <v>1541</v>
      </c>
    </row>
    <row r="268" spans="2:10" ht="25.5" customHeight="1">
      <c r="B268" s="291"/>
      <c r="C268" s="424"/>
      <c r="D268" s="307"/>
      <c r="E268" s="285"/>
      <c r="F268" s="387"/>
      <c r="G268" s="205"/>
      <c r="H268" s="205"/>
      <c r="I268" s="285"/>
      <c r="J268" s="274" t="s">
        <v>1542</v>
      </c>
    </row>
    <row r="269" spans="2:10" ht="29" customHeight="1">
      <c r="B269" s="291"/>
      <c r="C269" s="424"/>
      <c r="D269" s="307"/>
      <c r="E269" s="285"/>
      <c r="F269" s="387"/>
      <c r="G269" s="205"/>
      <c r="H269" s="205"/>
      <c r="I269" s="285"/>
      <c r="J269" s="274" t="s">
        <v>1543</v>
      </c>
    </row>
    <row r="270" spans="2:10" ht="14.5">
      <c r="B270" s="291"/>
      <c r="C270" s="424"/>
      <c r="D270" s="307"/>
      <c r="E270" s="285"/>
      <c r="F270" s="387"/>
      <c r="G270" s="205"/>
      <c r="H270" s="205"/>
      <c r="I270" s="285"/>
      <c r="J270" s="274" t="s">
        <v>1544</v>
      </c>
    </row>
    <row r="271" spans="2:10" ht="14.5">
      <c r="B271" s="291"/>
      <c r="C271" s="424"/>
      <c r="D271" s="307"/>
      <c r="E271" s="285"/>
      <c r="F271" s="387"/>
      <c r="G271" s="205"/>
      <c r="H271" s="205"/>
      <c r="I271" s="285"/>
      <c r="J271" s="274" t="s">
        <v>1545</v>
      </c>
    </row>
    <row r="272" spans="2:10" ht="25.5" customHeight="1">
      <c r="B272" s="291"/>
      <c r="C272" s="424"/>
      <c r="D272" s="307"/>
      <c r="E272" s="285"/>
      <c r="F272" s="387"/>
      <c r="G272" s="205"/>
      <c r="H272" s="205"/>
      <c r="I272" s="285"/>
      <c r="J272" s="274" t="s">
        <v>1546</v>
      </c>
    </row>
    <row r="273" spans="2:10" ht="14.5">
      <c r="B273" s="291"/>
      <c r="C273" s="424"/>
      <c r="D273" s="307"/>
      <c r="E273" s="285"/>
      <c r="F273" s="387"/>
      <c r="G273" s="205"/>
      <c r="H273" s="205"/>
      <c r="I273" s="285"/>
      <c r="J273" s="223"/>
    </row>
    <row r="274" spans="2:10" ht="14.5">
      <c r="B274" s="291"/>
      <c r="C274" s="424"/>
      <c r="D274" s="308"/>
      <c r="E274" s="285"/>
      <c r="F274" s="287"/>
      <c r="G274" s="209"/>
      <c r="H274" s="209"/>
      <c r="I274" s="286"/>
      <c r="J274" s="223" t="s">
        <v>1547</v>
      </c>
    </row>
    <row r="275" spans="2:10" ht="29" customHeight="1">
      <c r="B275" s="291"/>
      <c r="C275" s="385" t="s">
        <v>1548</v>
      </c>
      <c r="D275" s="428" t="s">
        <v>1549</v>
      </c>
      <c r="E275" s="275" t="s">
        <v>1550</v>
      </c>
      <c r="F275" s="425" t="s">
        <v>1551</v>
      </c>
      <c r="G275" s="205"/>
      <c r="H275" s="205"/>
      <c r="I275" s="283" t="s">
        <v>1552</v>
      </c>
      <c r="J275" s="405" t="s">
        <v>1553</v>
      </c>
    </row>
    <row r="276" spans="2:10" ht="14.5">
      <c r="B276" s="291"/>
      <c r="C276" s="386"/>
      <c r="D276" s="429"/>
      <c r="E276" s="265" t="s">
        <v>1554</v>
      </c>
      <c r="F276" s="287"/>
      <c r="G276" s="209"/>
      <c r="H276" s="209"/>
      <c r="I276" s="286"/>
      <c r="J276" s="283"/>
    </row>
    <row r="277" spans="2:10" ht="39" customHeight="1">
      <c r="B277" s="291"/>
      <c r="C277" s="269" t="s">
        <v>1555</v>
      </c>
      <c r="D277" s="224" t="s">
        <v>1556</v>
      </c>
      <c r="E277" s="262" t="s">
        <v>1557</v>
      </c>
      <c r="F277" s="208" t="s">
        <v>1558</v>
      </c>
      <c r="G277" s="209"/>
      <c r="H277" s="209"/>
      <c r="I277" s="208" t="s">
        <v>1354</v>
      </c>
      <c r="J277" s="222" t="s">
        <v>1559</v>
      </c>
    </row>
    <row r="278" spans="2:10" ht="30.75" customHeight="1">
      <c r="B278" s="291"/>
      <c r="C278" s="402" t="s">
        <v>1560</v>
      </c>
      <c r="D278" s="430" t="s">
        <v>1561</v>
      </c>
      <c r="E278" s="261" t="s">
        <v>1562</v>
      </c>
      <c r="F278" s="387" t="s">
        <v>1563</v>
      </c>
      <c r="G278" s="205"/>
      <c r="H278" s="205"/>
      <c r="I278" s="287" t="s">
        <v>1354</v>
      </c>
      <c r="J278" s="221" t="s">
        <v>1564</v>
      </c>
    </row>
    <row r="279" spans="2:10" ht="14.5">
      <c r="B279" s="291"/>
      <c r="C279" s="402"/>
      <c r="D279" s="431"/>
      <c r="E279" s="261" t="s">
        <v>1565</v>
      </c>
      <c r="F279" s="387"/>
      <c r="G279" s="205"/>
      <c r="H279" s="205"/>
      <c r="I279" s="288"/>
      <c r="J279" s="426"/>
    </row>
    <row r="280" spans="2:10" ht="14.5">
      <c r="B280" s="291"/>
      <c r="C280" s="403"/>
      <c r="D280" s="432"/>
      <c r="E280" s="264" t="s">
        <v>1566</v>
      </c>
      <c r="F280" s="287"/>
      <c r="G280" s="209"/>
      <c r="H280" s="209"/>
      <c r="I280" s="289"/>
      <c r="J280" s="427"/>
    </row>
    <row r="281" spans="2:10" ht="25.5" customHeight="1">
      <c r="B281" s="291"/>
      <c r="C281" s="402" t="s">
        <v>1567</v>
      </c>
      <c r="D281" s="428" t="s">
        <v>1568</v>
      </c>
      <c r="E281" s="261" t="s">
        <v>1569</v>
      </c>
      <c r="F281" s="422" t="s">
        <v>1570</v>
      </c>
      <c r="G281" s="205"/>
      <c r="H281" s="205"/>
      <c r="I281" s="287" t="s">
        <v>1354</v>
      </c>
      <c r="J281" s="405" t="s">
        <v>1571</v>
      </c>
    </row>
    <row r="282" spans="2:10" ht="14.5">
      <c r="B282" s="291"/>
      <c r="C282" s="402"/>
      <c r="D282" s="429"/>
      <c r="E282" s="261" t="s">
        <v>1572</v>
      </c>
      <c r="F282" s="422"/>
      <c r="G282" s="205"/>
      <c r="H282" s="205"/>
      <c r="I282" s="289"/>
      <c r="J282" s="405"/>
    </row>
    <row r="283" spans="2:10" ht="15" customHeight="1">
      <c r="B283" s="291"/>
      <c r="C283" s="390" t="s">
        <v>1573</v>
      </c>
      <c r="D283" s="428" t="s">
        <v>1574</v>
      </c>
      <c r="E283" s="275" t="s">
        <v>1575</v>
      </c>
      <c r="F283" s="387" t="s">
        <v>1576</v>
      </c>
      <c r="G283" s="205"/>
      <c r="H283" s="205"/>
      <c r="I283" s="436"/>
      <c r="J283" s="427"/>
    </row>
    <row r="284" spans="2:10" ht="14.5">
      <c r="B284" s="291"/>
      <c r="C284" s="397"/>
      <c r="D284" s="429"/>
      <c r="E284" s="265" t="s">
        <v>1577</v>
      </c>
      <c r="F284" s="287"/>
      <c r="G284" s="209"/>
      <c r="H284" s="209"/>
      <c r="I284" s="437"/>
      <c r="J284" s="433"/>
    </row>
    <row r="285" spans="2:10" ht="45" customHeight="1">
      <c r="B285" s="291"/>
      <c r="C285" s="402" t="s">
        <v>1578</v>
      </c>
      <c r="D285" s="430" t="s">
        <v>1579</v>
      </c>
      <c r="E285" s="261" t="s">
        <v>1580</v>
      </c>
      <c r="F285" s="387" t="s">
        <v>1581</v>
      </c>
      <c r="G285" s="205"/>
      <c r="H285" s="205"/>
      <c r="I285" s="436"/>
      <c r="J285" s="234"/>
    </row>
    <row r="286" spans="2:10" ht="14.5">
      <c r="B286" s="291"/>
      <c r="C286" s="402"/>
      <c r="D286" s="431"/>
      <c r="E286" s="261" t="s">
        <v>1582</v>
      </c>
      <c r="F286" s="387"/>
      <c r="G286" s="205"/>
      <c r="H286" s="205"/>
      <c r="I286" s="438"/>
      <c r="J286" s="234"/>
    </row>
    <row r="287" spans="2:10" ht="14.5">
      <c r="B287" s="291"/>
      <c r="C287" s="403"/>
      <c r="D287" s="432"/>
      <c r="E287" s="264" t="s">
        <v>1583</v>
      </c>
      <c r="F287" s="287"/>
      <c r="G287" s="209"/>
      <c r="H287" s="209"/>
      <c r="I287" s="437"/>
      <c r="J287" s="235"/>
    </row>
    <row r="288" spans="2:10" ht="45.65" customHeight="1">
      <c r="B288" s="291"/>
      <c r="C288" s="403" t="s">
        <v>1584</v>
      </c>
      <c r="D288" s="306" t="s">
        <v>1579</v>
      </c>
      <c r="E288" s="261" t="s">
        <v>1585</v>
      </c>
      <c r="F288" s="287" t="s">
        <v>1586</v>
      </c>
      <c r="G288" s="205"/>
      <c r="H288" s="205"/>
      <c r="I288" s="287"/>
      <c r="J288" s="426"/>
    </row>
    <row r="289" spans="2:10" ht="24" customHeight="1">
      <c r="B289" s="291"/>
      <c r="C289" s="424"/>
      <c r="D289" s="307"/>
      <c r="E289" s="261" t="s">
        <v>1587</v>
      </c>
      <c r="F289" s="289"/>
      <c r="G289" s="205"/>
      <c r="H289" s="205"/>
      <c r="I289" s="288"/>
      <c r="J289" s="427"/>
    </row>
    <row r="290" spans="2:10" ht="14.5">
      <c r="B290" s="291"/>
      <c r="C290" s="424"/>
      <c r="D290" s="307"/>
      <c r="E290" s="261" t="s">
        <v>1588</v>
      </c>
      <c r="F290" s="434" t="s">
        <v>1589</v>
      </c>
      <c r="G290" s="205"/>
      <c r="H290" s="205"/>
      <c r="I290" s="288"/>
      <c r="J290" s="405" t="s">
        <v>1590</v>
      </c>
    </row>
    <row r="291" spans="2:10" ht="30.75" customHeight="1">
      <c r="B291" s="291"/>
      <c r="C291" s="424"/>
      <c r="D291" s="307"/>
      <c r="E291" s="261" t="s">
        <v>1591</v>
      </c>
      <c r="F291" s="435"/>
      <c r="G291" s="205"/>
      <c r="H291" s="205"/>
      <c r="I291" s="288"/>
      <c r="J291" s="405"/>
    </row>
    <row r="292" spans="2:10" ht="14.5">
      <c r="B292" s="291"/>
      <c r="C292" s="424"/>
      <c r="D292" s="307"/>
      <c r="E292" s="261" t="s">
        <v>1592</v>
      </c>
      <c r="F292" s="435"/>
      <c r="G292" s="205"/>
      <c r="H292" s="205"/>
      <c r="I292" s="288"/>
      <c r="J292" s="405"/>
    </row>
    <row r="293" spans="2:10" ht="14.5">
      <c r="B293" s="291"/>
      <c r="C293" s="424"/>
      <c r="D293" s="307"/>
      <c r="E293" s="418" t="s">
        <v>1593</v>
      </c>
      <c r="F293" s="435"/>
      <c r="G293" s="205"/>
      <c r="H293" s="205"/>
      <c r="I293" s="288"/>
      <c r="J293" s="405"/>
    </row>
    <row r="294" spans="2:10" ht="14.5">
      <c r="B294" s="291"/>
      <c r="C294" s="424"/>
      <c r="D294" s="308"/>
      <c r="E294" s="419"/>
      <c r="F294" s="435"/>
      <c r="G294" s="209"/>
      <c r="H294" s="209"/>
      <c r="I294" s="289"/>
      <c r="J294" s="405"/>
    </row>
    <row r="295" spans="2:10" ht="15" customHeight="1">
      <c r="B295" s="291"/>
      <c r="C295" s="402" t="s">
        <v>1594</v>
      </c>
      <c r="D295" s="306" t="s">
        <v>1595</v>
      </c>
      <c r="E295" s="261" t="s">
        <v>1596</v>
      </c>
      <c r="F295" s="406" t="s">
        <v>1597</v>
      </c>
      <c r="G295" s="205"/>
      <c r="H295" s="205"/>
      <c r="I295" s="287" t="s">
        <v>1354</v>
      </c>
      <c r="J295" s="426"/>
    </row>
    <row r="296" spans="2:10" ht="24" customHeight="1">
      <c r="B296" s="291"/>
      <c r="C296" s="402"/>
      <c r="D296" s="307"/>
      <c r="E296" s="418" t="s">
        <v>1598</v>
      </c>
      <c r="F296" s="442"/>
      <c r="G296" s="205"/>
      <c r="H296" s="205"/>
      <c r="I296" s="288"/>
      <c r="J296" s="426"/>
    </row>
    <row r="297" spans="2:10" ht="14.5">
      <c r="B297" s="291"/>
      <c r="C297" s="402"/>
      <c r="D297" s="307"/>
      <c r="E297" s="443"/>
      <c r="F297" s="442"/>
      <c r="G297" s="205"/>
      <c r="H297" s="205"/>
      <c r="I297" s="288"/>
      <c r="J297" s="426"/>
    </row>
    <row r="298" spans="2:10" ht="14.5">
      <c r="B298" s="291"/>
      <c r="C298" s="402"/>
      <c r="D298" s="307"/>
      <c r="E298" s="261" t="s">
        <v>1599</v>
      </c>
      <c r="F298" s="442"/>
      <c r="G298" s="205"/>
      <c r="H298" s="205"/>
      <c r="I298" s="288"/>
      <c r="J298" s="426"/>
    </row>
    <row r="299" spans="2:10" ht="14.5">
      <c r="B299" s="291"/>
      <c r="C299" s="403"/>
      <c r="D299" s="308"/>
      <c r="E299" s="264" t="s">
        <v>1600</v>
      </c>
      <c r="F299" s="407"/>
      <c r="G299" s="209"/>
      <c r="H299" s="209"/>
      <c r="I299" s="289"/>
      <c r="J299" s="427"/>
    </row>
    <row r="300" spans="2:10" ht="30" customHeight="1">
      <c r="B300" s="291"/>
      <c r="C300" s="403" t="s">
        <v>1601</v>
      </c>
      <c r="D300" s="303" t="s">
        <v>1602</v>
      </c>
      <c r="E300" s="261" t="s">
        <v>1603</v>
      </c>
      <c r="F300" s="387" t="s">
        <v>1604</v>
      </c>
      <c r="G300" s="205"/>
      <c r="H300" s="205"/>
      <c r="I300" s="283" t="s">
        <v>735</v>
      </c>
      <c r="J300" s="405" t="s">
        <v>1605</v>
      </c>
    </row>
    <row r="301" spans="2:10" ht="14.5">
      <c r="B301" s="291"/>
      <c r="C301" s="424"/>
      <c r="D301" s="304"/>
      <c r="E301" s="261" t="s">
        <v>1606</v>
      </c>
      <c r="F301" s="387"/>
      <c r="G301" s="205"/>
      <c r="H301" s="205"/>
      <c r="I301" s="285"/>
      <c r="J301" s="405"/>
    </row>
    <row r="302" spans="2:10" ht="14.5">
      <c r="B302" s="291"/>
      <c r="C302" s="424"/>
      <c r="D302" s="304"/>
      <c r="E302" s="261" t="s">
        <v>1607</v>
      </c>
      <c r="F302" s="387"/>
      <c r="G302" s="205"/>
      <c r="H302" s="205"/>
      <c r="I302" s="285"/>
      <c r="J302" s="405"/>
    </row>
    <row r="303" spans="2:10" ht="14.5">
      <c r="B303" s="291"/>
      <c r="C303" s="424"/>
      <c r="D303" s="304"/>
      <c r="E303" s="418" t="s">
        <v>1608</v>
      </c>
      <c r="F303" s="387"/>
      <c r="H303" s="205"/>
      <c r="I303" s="285"/>
      <c r="J303" s="405"/>
    </row>
    <row r="304" spans="2:10" ht="14.5">
      <c r="B304" s="291"/>
      <c r="C304" s="424"/>
      <c r="D304" s="305"/>
      <c r="E304" s="419"/>
      <c r="F304" s="287"/>
      <c r="G304" s="209"/>
      <c r="H304" s="209"/>
      <c r="I304" s="286"/>
      <c r="J304" s="283"/>
    </row>
    <row r="305" spans="2:10" ht="26.25" customHeight="1">
      <c r="B305" s="291"/>
      <c r="C305" s="403" t="s">
        <v>1609</v>
      </c>
      <c r="D305" s="303" t="s">
        <v>1610</v>
      </c>
      <c r="E305" s="261" t="s">
        <v>1611</v>
      </c>
      <c r="F305" s="287" t="s">
        <v>1612</v>
      </c>
      <c r="G305" s="209"/>
      <c r="H305" s="205"/>
      <c r="I305" s="287" t="s">
        <v>1354</v>
      </c>
      <c r="J305" s="276" t="s">
        <v>1613</v>
      </c>
    </row>
    <row r="306" spans="2:10" ht="30" customHeight="1">
      <c r="B306" s="291"/>
      <c r="C306" s="424"/>
      <c r="D306" s="304"/>
      <c r="E306" s="261" t="s">
        <v>1614</v>
      </c>
      <c r="F306" s="288"/>
      <c r="G306" s="205"/>
      <c r="H306" s="205"/>
      <c r="I306" s="288"/>
      <c r="J306" s="277" t="s">
        <v>1615</v>
      </c>
    </row>
    <row r="307" spans="2:10" ht="30" customHeight="1">
      <c r="B307" s="291"/>
      <c r="C307" s="424"/>
      <c r="D307" s="304"/>
      <c r="E307" s="261" t="s">
        <v>1616</v>
      </c>
      <c r="F307" s="288"/>
      <c r="G307" s="205"/>
      <c r="H307" s="205"/>
      <c r="I307" s="288"/>
      <c r="J307" s="277" t="s">
        <v>1617</v>
      </c>
    </row>
    <row r="308" spans="2:10" ht="26">
      <c r="B308" s="291"/>
      <c r="C308" s="424"/>
      <c r="D308" s="305"/>
      <c r="E308" s="264" t="s">
        <v>1618</v>
      </c>
      <c r="F308" s="288"/>
      <c r="H308" s="209"/>
      <c r="I308" s="289"/>
      <c r="J308" s="277" t="s">
        <v>1619</v>
      </c>
    </row>
    <row r="309" spans="2:10" ht="15" customHeight="1">
      <c r="B309" s="291"/>
      <c r="C309" s="403" t="s">
        <v>1620</v>
      </c>
      <c r="D309" s="303" t="s">
        <v>1621</v>
      </c>
      <c r="E309" s="275" t="s">
        <v>1622</v>
      </c>
      <c r="F309" s="387" t="s">
        <v>1623</v>
      </c>
      <c r="G309" s="205"/>
      <c r="H309" s="205"/>
      <c r="I309" s="287" t="s">
        <v>1624</v>
      </c>
      <c r="J309" s="405" t="s">
        <v>1625</v>
      </c>
    </row>
    <row r="310" spans="2:10" ht="14.5">
      <c r="B310" s="291"/>
      <c r="C310" s="424"/>
      <c r="D310" s="304"/>
      <c r="E310" s="275" t="s">
        <v>1626</v>
      </c>
      <c r="F310" s="387"/>
      <c r="G310" s="205"/>
      <c r="H310" s="205"/>
      <c r="I310" s="288"/>
      <c r="J310" s="405"/>
    </row>
    <row r="311" spans="2:10" ht="14.5">
      <c r="B311" s="291"/>
      <c r="C311" s="424"/>
      <c r="D311" s="304"/>
      <c r="E311" s="275" t="s">
        <v>1627</v>
      </c>
      <c r="F311" s="387"/>
      <c r="G311" s="205"/>
      <c r="H311" s="205"/>
      <c r="I311" s="288"/>
      <c r="J311" s="405"/>
    </row>
    <row r="312" spans="2:10" ht="14.5">
      <c r="B312" s="291"/>
      <c r="C312" s="424"/>
      <c r="D312" s="304"/>
      <c r="E312" s="440" t="s">
        <v>1628</v>
      </c>
      <c r="F312" s="387"/>
      <c r="G312" s="205"/>
      <c r="H312" s="205"/>
      <c r="I312" s="288"/>
      <c r="J312" s="405"/>
    </row>
    <row r="313" spans="2:10" ht="14.5">
      <c r="B313" s="291"/>
      <c r="C313" s="439"/>
      <c r="D313" s="305"/>
      <c r="E313" s="441"/>
      <c r="F313" s="387"/>
      <c r="G313" s="205"/>
      <c r="H313" s="205"/>
      <c r="I313" s="289"/>
      <c r="J313" s="405"/>
    </row>
  </sheetData>
  <autoFilter ref="A1:J313" xr:uid="{FDE82F56-AF39-45F5-A55E-F226F6E0E0E7}"/>
  <mergeCells count="275">
    <mergeCell ref="C305:C308"/>
    <mergeCell ref="F305:F308"/>
    <mergeCell ref="F309:F313"/>
    <mergeCell ref="J309:J313"/>
    <mergeCell ref="C309:C313"/>
    <mergeCell ref="E312:E313"/>
    <mergeCell ref="F295:F299"/>
    <mergeCell ref="C295:C299"/>
    <mergeCell ref="J295:J299"/>
    <mergeCell ref="E296:E297"/>
    <mergeCell ref="F300:F304"/>
    <mergeCell ref="J300:J304"/>
    <mergeCell ref="C300:C304"/>
    <mergeCell ref="E303:E304"/>
    <mergeCell ref="D295:D299"/>
    <mergeCell ref="D300:D304"/>
    <mergeCell ref="D305:D308"/>
    <mergeCell ref="D309:D313"/>
    <mergeCell ref="I295:I299"/>
    <mergeCell ref="I300:I304"/>
    <mergeCell ref="I305:I308"/>
    <mergeCell ref="I309:I313"/>
    <mergeCell ref="F283:F284"/>
    <mergeCell ref="C283:C284"/>
    <mergeCell ref="J283:J284"/>
    <mergeCell ref="C285:C287"/>
    <mergeCell ref="F285:F287"/>
    <mergeCell ref="C288:C294"/>
    <mergeCell ref="E293:E294"/>
    <mergeCell ref="F290:F294"/>
    <mergeCell ref="F288:F289"/>
    <mergeCell ref="J288:J289"/>
    <mergeCell ref="J290:J294"/>
    <mergeCell ref="D283:D284"/>
    <mergeCell ref="D285:D287"/>
    <mergeCell ref="D288:D294"/>
    <mergeCell ref="I283:I284"/>
    <mergeCell ref="I285:I287"/>
    <mergeCell ref="I288:I294"/>
    <mergeCell ref="F275:F276"/>
    <mergeCell ref="C275:C276"/>
    <mergeCell ref="J275:J276"/>
    <mergeCell ref="C278:C280"/>
    <mergeCell ref="F278:F280"/>
    <mergeCell ref="J279:J280"/>
    <mergeCell ref="F281:F282"/>
    <mergeCell ref="J281:J282"/>
    <mergeCell ref="C281:C282"/>
    <mergeCell ref="D275:D276"/>
    <mergeCell ref="D278:D280"/>
    <mergeCell ref="D281:D282"/>
    <mergeCell ref="I275:I276"/>
    <mergeCell ref="I278:I280"/>
    <mergeCell ref="I281:I282"/>
    <mergeCell ref="C262:C264"/>
    <mergeCell ref="F262:F264"/>
    <mergeCell ref="F265:F266"/>
    <mergeCell ref="C265:C266"/>
    <mergeCell ref="E265:E266"/>
    <mergeCell ref="J265:J266"/>
    <mergeCell ref="J262:J264"/>
    <mergeCell ref="F267:F274"/>
    <mergeCell ref="C267:C274"/>
    <mergeCell ref="E267:E274"/>
    <mergeCell ref="D265:D266"/>
    <mergeCell ref="D267:D274"/>
    <mergeCell ref="C254:C256"/>
    <mergeCell ref="F254:F256"/>
    <mergeCell ref="C257:C259"/>
    <mergeCell ref="F257:F259"/>
    <mergeCell ref="J257:J259"/>
    <mergeCell ref="C260:C261"/>
    <mergeCell ref="F260:F261"/>
    <mergeCell ref="C199:C205"/>
    <mergeCell ref="J260:J261"/>
    <mergeCell ref="C206:C210"/>
    <mergeCell ref="C211:C213"/>
    <mergeCell ref="C241:C245"/>
    <mergeCell ref="C246:C247"/>
    <mergeCell ref="F241:F245"/>
    <mergeCell ref="F246:F247"/>
    <mergeCell ref="J246:J247"/>
    <mergeCell ref="C248:C249"/>
    <mergeCell ref="F248:F249"/>
    <mergeCell ref="J248:J249"/>
    <mergeCell ref="C250:C252"/>
    <mergeCell ref="F250:F252"/>
    <mergeCell ref="F234:F237"/>
    <mergeCell ref="E236:E237"/>
    <mergeCell ref="C234:C237"/>
    <mergeCell ref="J184:J186"/>
    <mergeCell ref="C239:C240"/>
    <mergeCell ref="F239:F240"/>
    <mergeCell ref="J239:J240"/>
    <mergeCell ref="D227:D229"/>
    <mergeCell ref="C227:C229"/>
    <mergeCell ref="F227:F229"/>
    <mergeCell ref="C230:C233"/>
    <mergeCell ref="F230:F233"/>
    <mergeCell ref="J230:J233"/>
    <mergeCell ref="F214:F216"/>
    <mergeCell ref="F217:F218"/>
    <mergeCell ref="J216:J217"/>
    <mergeCell ref="J214:J215"/>
    <mergeCell ref="F219:F223"/>
    <mergeCell ref="J219:J221"/>
    <mergeCell ref="C224:C226"/>
    <mergeCell ref="D224:D226"/>
    <mergeCell ref="E225:E226"/>
    <mergeCell ref="E206:E207"/>
    <mergeCell ref="C214:C218"/>
    <mergeCell ref="D214:D218"/>
    <mergeCell ref="D219:D223"/>
    <mergeCell ref="C219:C223"/>
    <mergeCell ref="B26:B39"/>
    <mergeCell ref="A26:A39"/>
    <mergeCell ref="E44:E46"/>
    <mergeCell ref="D40:D47"/>
    <mergeCell ref="E53:E55"/>
    <mergeCell ref="E182:E183"/>
    <mergeCell ref="E185:E186"/>
    <mergeCell ref="D184:D186"/>
    <mergeCell ref="E188:E189"/>
    <mergeCell ref="E27:E30"/>
    <mergeCell ref="E31:E32"/>
    <mergeCell ref="D26:D34"/>
    <mergeCell ref="C26:C34"/>
    <mergeCell ref="E38:E39"/>
    <mergeCell ref="D35:D39"/>
    <mergeCell ref="C35:C39"/>
    <mergeCell ref="E64:E65"/>
    <mergeCell ref="E68:E70"/>
    <mergeCell ref="D66:D70"/>
    <mergeCell ref="C56:C70"/>
    <mergeCell ref="D60:D62"/>
    <mergeCell ref="D63:D65"/>
    <mergeCell ref="C40:C55"/>
    <mergeCell ref="B40:B55"/>
    <mergeCell ref="B2:B25"/>
    <mergeCell ref="A2:A25"/>
    <mergeCell ref="C14:C18"/>
    <mergeCell ref="D14:D18"/>
    <mergeCell ref="E9:E11"/>
    <mergeCell ref="E15:E16"/>
    <mergeCell ref="C19:C22"/>
    <mergeCell ref="D19:D22"/>
    <mergeCell ref="C2:C7"/>
    <mergeCell ref="D2:D7"/>
    <mergeCell ref="C8:C13"/>
    <mergeCell ref="D8:D13"/>
    <mergeCell ref="E3:E5"/>
    <mergeCell ref="D23:D25"/>
    <mergeCell ref="C23:C25"/>
    <mergeCell ref="A40:A55"/>
    <mergeCell ref="D48:D55"/>
    <mergeCell ref="E58:E59"/>
    <mergeCell ref="D56:D59"/>
    <mergeCell ref="B56:B70"/>
    <mergeCell ref="A56:A70"/>
    <mergeCell ref="E93:E94"/>
    <mergeCell ref="D93:D94"/>
    <mergeCell ref="D95:D98"/>
    <mergeCell ref="C71:C98"/>
    <mergeCell ref="B71:B98"/>
    <mergeCell ref="E86:E87"/>
    <mergeCell ref="E88:E92"/>
    <mergeCell ref="D86:D92"/>
    <mergeCell ref="A71:A98"/>
    <mergeCell ref="E81:E82"/>
    <mergeCell ref="E83:E85"/>
    <mergeCell ref="D80:D85"/>
    <mergeCell ref="E78:E79"/>
    <mergeCell ref="D77:D79"/>
    <mergeCell ref="D71:D73"/>
    <mergeCell ref="D74:D76"/>
    <mergeCell ref="E74:E75"/>
    <mergeCell ref="E112:E113"/>
    <mergeCell ref="B112:B127"/>
    <mergeCell ref="A112:A127"/>
    <mergeCell ref="C112:C127"/>
    <mergeCell ref="E114:E117"/>
    <mergeCell ref="D112:D118"/>
    <mergeCell ref="E120:E125"/>
    <mergeCell ref="D119:D127"/>
    <mergeCell ref="C99:C111"/>
    <mergeCell ref="B99:B111"/>
    <mergeCell ref="A99:A111"/>
    <mergeCell ref="D109:D111"/>
    <mergeCell ref="E99:E100"/>
    <mergeCell ref="E101:E102"/>
    <mergeCell ref="E105:E107"/>
    <mergeCell ref="D99:D107"/>
    <mergeCell ref="C128:C140"/>
    <mergeCell ref="B128:B140"/>
    <mergeCell ref="A128:A140"/>
    <mergeCell ref="E142:E143"/>
    <mergeCell ref="D141:D143"/>
    <mergeCell ref="D144:D146"/>
    <mergeCell ref="E149:E150"/>
    <mergeCell ref="E128:E130"/>
    <mergeCell ref="D128:D131"/>
    <mergeCell ref="D132:D135"/>
    <mergeCell ref="E132:E134"/>
    <mergeCell ref="E136:E138"/>
    <mergeCell ref="E139:E140"/>
    <mergeCell ref="D136:D140"/>
    <mergeCell ref="D165:D168"/>
    <mergeCell ref="E169:E170"/>
    <mergeCell ref="D169:D171"/>
    <mergeCell ref="C165:C171"/>
    <mergeCell ref="B165:B171"/>
    <mergeCell ref="E151:E155"/>
    <mergeCell ref="D147:D156"/>
    <mergeCell ref="D157:D159"/>
    <mergeCell ref="D160:D164"/>
    <mergeCell ref="C141:C164"/>
    <mergeCell ref="B141:B164"/>
    <mergeCell ref="J175:J177"/>
    <mergeCell ref="A199:A213"/>
    <mergeCell ref="A141:A164"/>
    <mergeCell ref="A165:A171"/>
    <mergeCell ref="A172:A174"/>
    <mergeCell ref="A175:A190"/>
    <mergeCell ref="A191:A198"/>
    <mergeCell ref="E208:E210"/>
    <mergeCell ref="D206:D210"/>
    <mergeCell ref="E212:E213"/>
    <mergeCell ref="D211:D213"/>
    <mergeCell ref="D191:D198"/>
    <mergeCell ref="E193:E196"/>
    <mergeCell ref="C191:C198"/>
    <mergeCell ref="B191:B198"/>
    <mergeCell ref="E201:E202"/>
    <mergeCell ref="E203:E204"/>
    <mergeCell ref="D199:D205"/>
    <mergeCell ref="C172:C174"/>
    <mergeCell ref="B172:B174"/>
    <mergeCell ref="E172:E174"/>
    <mergeCell ref="D172:D174"/>
    <mergeCell ref="D175:D177"/>
    <mergeCell ref="E179:E181"/>
    <mergeCell ref="B214:B313"/>
    <mergeCell ref="B199:B213"/>
    <mergeCell ref="D187:D190"/>
    <mergeCell ref="C175:C190"/>
    <mergeCell ref="B175:B190"/>
    <mergeCell ref="E262:E263"/>
    <mergeCell ref="I257:I259"/>
    <mergeCell ref="D239:D240"/>
    <mergeCell ref="D241:D245"/>
    <mergeCell ref="D246:D247"/>
    <mergeCell ref="D248:D249"/>
    <mergeCell ref="D250:D252"/>
    <mergeCell ref="D254:D256"/>
    <mergeCell ref="D257:D259"/>
    <mergeCell ref="D260:D261"/>
    <mergeCell ref="D262:D264"/>
    <mergeCell ref="I214:I218"/>
    <mergeCell ref="I219:I223"/>
    <mergeCell ref="I224:I226"/>
    <mergeCell ref="I227:I229"/>
    <mergeCell ref="I230:I233"/>
    <mergeCell ref="I234:I237"/>
    <mergeCell ref="D234:D237"/>
    <mergeCell ref="D178:D183"/>
    <mergeCell ref="I239:I240"/>
    <mergeCell ref="I246:I247"/>
    <mergeCell ref="I248:I249"/>
    <mergeCell ref="I250:I252"/>
    <mergeCell ref="I254:I256"/>
    <mergeCell ref="I260:I261"/>
    <mergeCell ref="I262:I264"/>
    <mergeCell ref="I265:I266"/>
    <mergeCell ref="I267:I274"/>
    <mergeCell ref="I242:I245"/>
  </mergeCells>
  <phoneticPr fontId="47" type="noConversion"/>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A8EBD9265BC840B613A61EE3E698D9" ma:contentTypeVersion="16" ma:contentTypeDescription="Create a new document." ma:contentTypeScope="" ma:versionID="6ebdcab1f56e73b5e4dbcd64d7fd6f3d">
  <xsd:schema xmlns:xsd="http://www.w3.org/2001/XMLSchema" xmlns:xs="http://www.w3.org/2001/XMLSchema" xmlns:p="http://schemas.microsoft.com/office/2006/metadata/properties" xmlns:ns2="3f1e802b-76d3-494d-88d4-9986c86bc38c" xmlns:ns3="2ab72f8e-053a-49b1-b86a-fd297eb38cc3" targetNamespace="http://schemas.microsoft.com/office/2006/metadata/properties" ma:root="true" ma:fieldsID="91b9d8ed7e87f7d65e5f53046b8c86cd" ns2:_="" ns3:_="">
    <xsd:import namespace="3f1e802b-76d3-494d-88d4-9986c86bc38c"/>
    <xsd:import namespace="2ab72f8e-053a-49b1-b86a-fd297eb38cc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1e802b-76d3-494d-88d4-9986c86bc3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21cfaf9-58f8-436e-9e40-8eaff30e51f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b72f8e-053a-49b1-b86a-fd297eb38cc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dc681ac-28d6-4501-aa03-ca31073f41e5}" ma:internalName="TaxCatchAll" ma:showField="CatchAllData" ma:web="2ab72f8e-053a-49b1-b86a-fd297eb38cc3">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ediaLengthInSeconds xmlns="3f1e802b-76d3-494d-88d4-9986c86bc38c" xsi:nil="true"/>
    <lcf76f155ced4ddcb4097134ff3c332f xmlns="3f1e802b-76d3-494d-88d4-9986c86bc38c">
      <Terms xmlns="http://schemas.microsoft.com/office/infopath/2007/PartnerControls"/>
    </lcf76f155ced4ddcb4097134ff3c332f>
    <TaxCatchAll xmlns="2ab72f8e-053a-49b1-b86a-fd297eb38cc3" xsi:nil="true"/>
  </documentManagement>
</p:properties>
</file>

<file path=customXml/itemProps1.xml><?xml version="1.0" encoding="utf-8"?>
<ds:datastoreItem xmlns:ds="http://schemas.openxmlformats.org/officeDocument/2006/customXml" ds:itemID="{C2D796AC-E5E4-4196-A62F-C3FEACCCDA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1e802b-76d3-494d-88d4-9986c86bc38c"/>
    <ds:schemaRef ds:uri="2ab72f8e-053a-49b1-b86a-fd297eb38c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6EC5986-4B94-4316-A138-1EA05C82EF32}">
  <ds:schemaRefs>
    <ds:schemaRef ds:uri="http://schemas.microsoft.com/sharepoint/v3/contenttype/forms"/>
  </ds:schemaRefs>
</ds:datastoreItem>
</file>

<file path=customXml/itemProps3.xml><?xml version="1.0" encoding="utf-8"?>
<ds:datastoreItem xmlns:ds="http://schemas.openxmlformats.org/officeDocument/2006/customXml" ds:itemID="{81E8CF1D-E99A-4DF1-938E-32BCA0C67B22}">
  <ds:schemaRefs>
    <ds:schemaRef ds:uri="http://purl.org/dc/dcmitype/"/>
    <ds:schemaRef ds:uri="http://purl.org/dc/elements/1.1/"/>
    <ds:schemaRef ds:uri="2ab72f8e-053a-49b1-b86a-fd297eb38cc3"/>
    <ds:schemaRef ds:uri="http://schemas.microsoft.com/office/2006/documentManagement/types"/>
    <ds:schemaRef ds:uri="http://www.w3.org/XML/1998/namespace"/>
    <ds:schemaRef ds:uri="http://schemas.microsoft.com/office/2006/metadata/properties"/>
    <ds:schemaRef ds:uri="http://purl.org/dc/terms/"/>
    <ds:schemaRef ds:uri="3f1e802b-76d3-494d-88d4-9986c86bc38c"/>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Paracel Social ToC</vt:lpstr>
      <vt:lpstr>Paracel Social ToC (2)</vt:lpstr>
      <vt:lpstr>C&amp;SS</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Diego Meza</cp:lastModifiedBy>
  <cp:revision/>
  <dcterms:created xsi:type="dcterms:W3CDTF">2012-01-28T15:34:16Z</dcterms:created>
  <dcterms:modified xsi:type="dcterms:W3CDTF">2026-03-30T18:00:44Z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0x01010058A8EBD9265BC840B613A61EE3E698D9</vt:lpwstr>
  </property>
  <property fmtid="{D5CDD505-2E9C-101B-9397-08002B2CF9AE}" pid="3" name="Order">
    <vt:r8>3425900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ies>
</file>