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paracel-my.sharepoint.com/personal/diego_meza_paracel_com_py/Documents/MONITOREO_IMPACTO_SOCIAL_PARACEL/MONITOREO_PROGRAMAS_SOCIALES/"/>
    </mc:Choice>
  </mc:AlternateContent>
  <xr:revisionPtr revIDLastSave="0" documentId="8_{85CD4992-704F-444A-91A4-CE46BA448DB8}" xr6:coauthVersionLast="47" xr6:coauthVersionMax="47" xr10:uidLastSave="{00000000-0000-0000-0000-000000000000}"/>
  <bookViews>
    <workbookView xWindow="-28910" yWindow="-1090" windowWidth="29020" windowHeight="15700" firstSheet="3" activeTab="3" xr2:uid="{00000000-000D-0000-FFFF-FFFF00000000}"/>
  </bookViews>
  <sheets>
    <sheet name="Matriz Consolidada" sheetId="1" r:id="rId1"/>
    <sheet name="Resumen Ejecutivo" sheetId="2" r:id="rId2"/>
    <sheet name="Cronograma 2025" sheetId="3" r:id="rId3"/>
    <sheet name="Responsables" sheetId="4" r:id="rId4"/>
  </sheets>
  <definedNames>
    <definedName name="SegmentaciónDeDatos_PROGRAMA">#N/A</definedName>
    <definedName name="SegmentaciónDeDatos_RESPONSABLE">#N/A</definedName>
    <definedName name="SegmentaciónDeDatos_TARGET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</calcChain>
</file>

<file path=xl/sharedStrings.xml><?xml version="1.0" encoding="utf-8"?>
<sst xmlns="http://schemas.openxmlformats.org/spreadsheetml/2006/main" count="540" uniqueCount="256">
  <si>
    <t>MATRIZ CONSOLIDADA DE INDICADORES - PROGRAMAS SOCIALES</t>
  </si>
  <si>
    <t>Sistema de Monitoreo Operativo | Paracel 2025</t>
  </si>
  <si>
    <t>Total indicadores</t>
  </si>
  <si>
    <t>N°</t>
  </si>
  <si>
    <t>PROGRAMA</t>
  </si>
  <si>
    <t>TARGET</t>
  </si>
  <si>
    <t>INDICADOR</t>
  </si>
  <si>
    <t>FÓRMULA DE CÁLCULO</t>
  </si>
  <si>
    <t>FUENTE DE VERIFICACIÓN</t>
  </si>
  <si>
    <t>PERIODICIDAD</t>
  </si>
  <si>
    <t>RESPONSABLE</t>
  </si>
  <si>
    <t>EVIDENCIA</t>
  </si>
  <si>
    <t>GESTIÓN DE EMPRESAS CONTRATISTAS</t>
  </si>
  <si>
    <t>Target 1: Auditorías</t>
  </si>
  <si>
    <t>N° de empresas auditadas</t>
  </si>
  <si>
    <t>Conteo directo de empresas auditadas en el período</t>
  </si>
  <si>
    <t>Informes de auditoría</t>
  </si>
  <si>
    <t>Trimestral</t>
  </si>
  <si>
    <t>Coordinador/a de Sustentabilidad Social</t>
  </si>
  <si>
    <t>Informes de auditoría trimestrales</t>
  </si>
  <si>
    <t>% de empresas auditadas vs total</t>
  </si>
  <si>
    <t>(N° empresas auditadas / N° total empresas) × 100</t>
  </si>
  <si>
    <t>Registro de contratistas + Informes auditoría</t>
  </si>
  <si>
    <t>Base de datos + Informes auditoría</t>
  </si>
  <si>
    <t>N° total de hallazgos</t>
  </si>
  <si>
    <t>Suma de hallazgos identificados en auditorías</t>
  </si>
  <si>
    <t>Equipo de Auditoría</t>
  </si>
  <si>
    <t>Informes con detalle de hallazgos</t>
  </si>
  <si>
    <t>% de cierre de hallazgos</t>
  </si>
  <si>
    <t>(N° hallazgos cerrados / N° total hallazgos) × 100</t>
  </si>
  <si>
    <t>Matriz de seguimiento</t>
  </si>
  <si>
    <t>Mensual</t>
  </si>
  <si>
    <t>Matriz de seguimiento actualizada</t>
  </si>
  <si>
    <t>% cumplimiento de plazos</t>
  </si>
  <si>
    <t>(N° hallazgos cerrados en plazo / N° total) × 100</t>
  </si>
  <si>
    <t>Matriz de seguimiento con fechas</t>
  </si>
  <si>
    <t>Matriz con fechas límite</t>
  </si>
  <si>
    <t>N° de acompañamientos</t>
  </si>
  <si>
    <t>Conteo de sesiones de acompañamiento</t>
  </si>
  <si>
    <t>Registro de acompañamientos</t>
  </si>
  <si>
    <t>Equipo de Sustentabilidad</t>
  </si>
  <si>
    <t>Actas de reuniones</t>
  </si>
  <si>
    <t>Target 2: Capacitación</t>
  </si>
  <si>
    <t>N° de personas capacitadas</t>
  </si>
  <si>
    <t>Suma de participantes (desagregado por género, edad, cargo, etnia)</t>
  </si>
  <si>
    <t>Listas de asistencia</t>
  </si>
  <si>
    <t>Coordinador/a de Capacitación</t>
  </si>
  <si>
    <t>Listas de asistencia firmadas</t>
  </si>
  <si>
    <t>N° de horas de capacitación</t>
  </si>
  <si>
    <t>Suma de horas totales impartidas</t>
  </si>
  <si>
    <t>Registro de capacitaciones</t>
  </si>
  <si>
    <t>Cronograma y registros</t>
  </si>
  <si>
    <t>N° de temas desarrollados</t>
  </si>
  <si>
    <t>Conteo de temas/módulos impartidos</t>
  </si>
  <si>
    <t>Plan de capacitación</t>
  </si>
  <si>
    <t>Plan + Materiales utilizados</t>
  </si>
  <si>
    <t>% variación conocimiento (pre-post)</t>
  </si>
  <si>
    <t>[(Puntaje post - Puntaje pre) / Puntaje pre] × 100</t>
  </si>
  <si>
    <t>Evaluaciones de conocimiento</t>
  </si>
  <si>
    <t>Por capacitación</t>
  </si>
  <si>
    <t>Evaluaciones entrada/salida</t>
  </si>
  <si>
    <t>% de participación</t>
  </si>
  <si>
    <t>(N° participantes / N° total trabajadores) × 100</t>
  </si>
  <si>
    <t>Listas + Nómina contratistas</t>
  </si>
  <si>
    <t>Listas + Nómina actualizada</t>
  </si>
  <si>
    <t>% uso del presupuesto</t>
  </si>
  <si>
    <t>(Gasto ejecutado / Presupuesto asignado) × 100</t>
  </si>
  <si>
    <t>Reportes financieros</t>
  </si>
  <si>
    <t>Coordinador/a + Finanzas</t>
  </si>
  <si>
    <t>Reportes de ejecución</t>
  </si>
  <si>
    <t>SALUD Y SEGURIDAD COMUNITARIA</t>
  </si>
  <si>
    <t>Target 1: Asistencia médica</t>
  </si>
  <si>
    <t>N° de alianzas firmadas</t>
  </si>
  <si>
    <t>Conteo de convenios activas con instituciones de salud</t>
  </si>
  <si>
    <t>Registro de convenios</t>
  </si>
  <si>
    <t>Anual</t>
  </si>
  <si>
    <t>Coordinador/a Salud Comunitaria</t>
  </si>
  <si>
    <t>Convenios firmados</t>
  </si>
  <si>
    <t>N° de personas asistidas</t>
  </si>
  <si>
    <t>Suma de personas atendidas (por sexo, edad, etnia, comunidad)</t>
  </si>
  <si>
    <t>Registros de atención médica</t>
  </si>
  <si>
    <t>Equipo médico</t>
  </si>
  <si>
    <t>Fichas de atención</t>
  </si>
  <si>
    <t>N° de USF intervenidas</t>
  </si>
  <si>
    <t>Conteo de Unidades de Salud Familiar beneficiadas</t>
  </si>
  <si>
    <t>Registro de jornadas</t>
  </si>
  <si>
    <t>Informes de jornadas</t>
  </si>
  <si>
    <t>N° de especialidades médicas</t>
  </si>
  <si>
    <t>Conteo de especialidades por jornada</t>
  </si>
  <si>
    <t>Planificación de jornadas</t>
  </si>
  <si>
    <t>Por jornada</t>
  </si>
  <si>
    <t>Programa de jornadas</t>
  </si>
  <si>
    <t>N° personas externas vinculadas</t>
  </si>
  <si>
    <t>Conteo de personas de organizaciones aliadas</t>
  </si>
  <si>
    <t>Listas de participantes</t>
  </si>
  <si>
    <t>Monto inversión aliados</t>
  </si>
  <si>
    <t>Suma de aportes de organizaciones aliadas</t>
  </si>
  <si>
    <t>Reportes de contrapartes</t>
  </si>
  <si>
    <t>Cartas compromiso</t>
  </si>
  <si>
    <t>% uso presupuesto</t>
  </si>
  <si>
    <t>(Gasto ejecutado / USD 16,585) × 100</t>
  </si>
  <si>
    <t>Reportes ejecución presupuestaria</t>
  </si>
  <si>
    <t>Target 2: PANI/PAI</t>
  </si>
  <si>
    <t>Kg de leche distribuidos</t>
  </si>
  <si>
    <t>Suma de kilogramos entregados (Meta: 10,000 kg)</t>
  </si>
  <si>
    <t>Registros de entrega</t>
  </si>
  <si>
    <t>Actas de entrega a USF</t>
  </si>
  <si>
    <t>N° personas beneficiadas PANI</t>
  </si>
  <si>
    <t>Suma de personas alcanzadas (Meta: 5,000)</t>
  </si>
  <si>
    <t>Padrón de beneficiarios</t>
  </si>
  <si>
    <t>N° personas inmunizadas</t>
  </si>
  <si>
    <t>Conteo de personas vacunadas en jornadas PAI</t>
  </si>
  <si>
    <t>Registros de vacunación</t>
  </si>
  <si>
    <t>Equipo médico / USF</t>
  </si>
  <si>
    <t>Registros PAI</t>
  </si>
  <si>
    <t>Conteo de USF alcanzadas</t>
  </si>
  <si>
    <t>Registro de distribución</t>
  </si>
  <si>
    <t>Listado de USF</t>
  </si>
  <si>
    <t>(Gasto ejecutado / USD 11,155) × 100</t>
  </si>
  <si>
    <t>Target 3: Salud Sexual/VIH</t>
  </si>
  <si>
    <t>N° de alianzas generadas</t>
  </si>
  <si>
    <t>Conteo de convenios (Cruz Roja, PRONASIDA, etc.)</t>
  </si>
  <si>
    <t>N° de comunidades abordadas</t>
  </si>
  <si>
    <t>Conteo de comunidades intervenidas</t>
  </si>
  <si>
    <t>Registro de talleres</t>
  </si>
  <si>
    <t>Listado de comunidades</t>
  </si>
  <si>
    <t>N° personas beneficiadas</t>
  </si>
  <si>
    <t>Suma de participantes (por sexo, edad, etnia)</t>
  </si>
  <si>
    <t>Por taller</t>
  </si>
  <si>
    <t>Listas firmadas</t>
  </si>
  <si>
    <t>N° de testeos realizados</t>
  </si>
  <si>
    <t>Conteo de pruebas VIH aplicadas</t>
  </si>
  <si>
    <t>Registros de testeo</t>
  </si>
  <si>
    <t>PRONASIDA / Cruz Roja</t>
  </si>
  <si>
    <t>Formularios de testeo</t>
  </si>
  <si>
    <t>N° colaboradores contratistas</t>
  </si>
  <si>
    <t>Conteo de trabajadores capacitados/testeados</t>
  </si>
  <si>
    <t>Por actividad</t>
  </si>
  <si>
    <t>Listas específicas</t>
  </si>
  <si>
    <t>% variación conocimiento</t>
  </si>
  <si>
    <t>Evaluaciones</t>
  </si>
  <si>
    <t>Evaluaciones aplicadas</t>
  </si>
  <si>
    <t>(Gasto ejecutado / USD 10,649) × 100</t>
  </si>
  <si>
    <t>Target 4: MINNA (Niñez)</t>
  </si>
  <si>
    <t>N° facilitadores formados</t>
  </si>
  <si>
    <t>Conteo de facilitadores certificados</t>
  </si>
  <si>
    <t>Registro de formación MINNA</t>
  </si>
  <si>
    <t>Coordinador/a + MINNA</t>
  </si>
  <si>
    <t>Certificados de formación</t>
  </si>
  <si>
    <t>N° instituciones representadas</t>
  </si>
  <si>
    <t>Conteo de organizaciones participantes</t>
  </si>
  <si>
    <t>Registro de participantes</t>
  </si>
  <si>
    <t>Listado de instituciones</t>
  </si>
  <si>
    <t>N° personas sensibilizadas</t>
  </si>
  <si>
    <t>Suma de participantes (por edad y sexo)</t>
  </si>
  <si>
    <t>Por evento</t>
  </si>
  <si>
    <t>N° materiales entregados</t>
  </si>
  <si>
    <t>Conteo de materiales educativos distribuidos</t>
  </si>
  <si>
    <t>Inventario de materiales</t>
  </si>
  <si>
    <t>(Gasto ejecutado / USD 30,000) × 100</t>
  </si>
  <si>
    <t>MANEJO SOCIAL</t>
  </si>
  <si>
    <t>Target 1: Espacios informativos</t>
  </si>
  <si>
    <t>N° personas participantes</t>
  </si>
  <si>
    <t>Suma de asistentes (por edad, sexo, comunidad, etnia)</t>
  </si>
  <si>
    <t>Semestral</t>
  </si>
  <si>
    <t>Coordinador/a Manejo Social</t>
  </si>
  <si>
    <t>Índice de percepción</t>
  </si>
  <si>
    <t>(Suma valoraciones / N° encuestas) escala 1-5</t>
  </si>
  <si>
    <t>Encuestas de percepción</t>
  </si>
  <si>
    <t>Encuestas tabuladas</t>
  </si>
  <si>
    <t>Datos de migración</t>
  </si>
  <si>
    <t>Conteo de casos de migración identificados</t>
  </si>
  <si>
    <t>Entrevistas / Encuestas</t>
  </si>
  <si>
    <t>Formularios de datos</t>
  </si>
  <si>
    <t>N° materiales desarrollados</t>
  </si>
  <si>
    <t>Conteo de materiales producidos</t>
  </si>
  <si>
    <t>Registro de materiales</t>
  </si>
  <si>
    <t>N° funcionarios Paracel</t>
  </si>
  <si>
    <t>Conteo de personal de empresa participante</t>
  </si>
  <si>
    <t>Por reunión</t>
  </si>
  <si>
    <t>Listas internas</t>
  </si>
  <si>
    <t>(Gasto ejecutado / USD 8,442) × 100</t>
  </si>
  <si>
    <t>Target 2: Alineación líderes</t>
  </si>
  <si>
    <t>N° líderes/lideresas</t>
  </si>
  <si>
    <t>Suma de líderes (por sexo, comunidad, etnia)</t>
  </si>
  <si>
    <t>Índice percepción líderes</t>
  </si>
  <si>
    <t>Encuestas a líderes</t>
  </si>
  <si>
    <t>Conteo de materiales entregados a líderes</t>
  </si>
  <si>
    <t>Registro de entrega</t>
  </si>
  <si>
    <t>Actas de entrega</t>
  </si>
  <si>
    <t>Conteo de personal en reuniones</t>
  </si>
  <si>
    <t>(Gasto ejecutado / USD 6,044) × 100</t>
  </si>
  <si>
    <t>RESUMEN EJECUTIVO - INDICADORES POR PROGRAMA</t>
  </si>
  <si>
    <t>Consolidación anual de metas e indicadores | 2025</t>
  </si>
  <si>
    <t>TARGETS</t>
  </si>
  <si>
    <t>INDICADORES</t>
  </si>
  <si>
    <t>PRESUPUESTO (USD)</t>
  </si>
  <si>
    <t>RESPONSABLE PRINCIPAL</t>
  </si>
  <si>
    <t>1. GESTIÓN EMPRESAS CONTRATISTAS</t>
  </si>
  <si>
    <t>Por definir</t>
  </si>
  <si>
    <t>Trimestral/Mensual</t>
  </si>
  <si>
    <t>2. SALUD Y SEGURIDAD COMUNITARIA</t>
  </si>
  <si>
    <t>USD 68,389</t>
  </si>
  <si>
    <t>Mensual/Trimestral</t>
  </si>
  <si>
    <t>Coordinador/a de Salud Comunitaria</t>
  </si>
  <si>
    <t>3. MANEJO SOCIAL</t>
  </si>
  <si>
    <t>USD 14,486</t>
  </si>
  <si>
    <t>Semestral/Anual</t>
  </si>
  <si>
    <t>Coordinador/a de Manejo Social</t>
  </si>
  <si>
    <t>TOTAL GENERAL</t>
  </si>
  <si>
    <t>USD 82,875</t>
  </si>
  <si>
    <t>-</t>
  </si>
  <si>
    <t>Dirección de Sustentabilidad</t>
  </si>
  <si>
    <t>CRONOGRAMA DE MONITOREO Y SEGUIMIENTO 2025</t>
  </si>
  <si>
    <t>Planificación mensual de actividades por programa</t>
  </si>
  <si>
    <t>ACTIVIDAD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</si>
  <si>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</si>
  <si>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</si>
  <si>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</si>
  <si>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</si>
  <si>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</si>
  <si>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</si>
  <si>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</si>
  <si>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</si>
  <si>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</si>
  <si>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</si>
  <si>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</si>
  <si>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</si>
  <si>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GESTIÓN EMPRESAS CONTRATISTAS</t>
  </si>
  <si>
    <t>Auditorías trimestrales</t>
  </si>
  <si>
    <t>●</t>
  </si>
  <si>
    <t>Capacitaciones</t>
  </si>
  <si>
    <t>Asistencia médica</t>
  </si>
  <si>
    <t>PANI - Distribución leche</t>
  </si>
  <si>
    <t>PAI - Inmunización</t>
  </si>
  <si>
    <t>Salud sexual y VIH</t>
  </si>
  <si>
    <t>MINNA - Niñez y adolescencia</t>
  </si>
  <si>
    <t>Espacios informativos</t>
  </si>
  <si>
    <t>Reuniones con líderes</t>
  </si>
  <si>
    <t>DIRECTORIO DE RESPONSABLES</t>
  </si>
  <si>
    <t>ÁREA/PROGRAMA</t>
  </si>
  <si>
    <t>FUNCIÓN</t>
  </si>
  <si>
    <t>CONTACTO</t>
  </si>
  <si>
    <t>Gestión Empresas Contratistas</t>
  </si>
  <si>
    <t>Auditorías, seguimiento</t>
  </si>
  <si>
    <t>Capacitación</t>
  </si>
  <si>
    <t>Planificación y ejecución de capacitaciones</t>
  </si>
  <si>
    <t>Salud Comunitaria</t>
  </si>
  <si>
    <t>Jornadas médicas, PANI, PAI, VIH, MINNA</t>
  </si>
  <si>
    <t>Manejo Social</t>
  </si>
  <si>
    <t>Percepción, espacios informativos, líderes</t>
  </si>
  <si>
    <t>Finanzas</t>
  </si>
  <si>
    <t>Área de Finanzas</t>
  </si>
  <si>
    <t>Seguimiento presupuestario</t>
  </si>
  <si>
    <t>Dirección General</t>
  </si>
  <si>
    <t>Supervisión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</si>
</sst>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Trebuchet MS"/>
      <family val="2"/>
      <scheme val="minor"/>
    </font>
    <font>
      <b/>
      <sz val="18"/>
      <color rgb="FF1B4F72"/>
      <name val="Calibri"/>
      <family val="2"/>
    </font>
    <font>
      <i/>
      <sz val="11"/>
      <color rgb="FF2874A6"/>
      <name val="Calibri"/>
      <family val="2"/>
    </font>
    <font>
      <b/>
      <sz val="11"/>
      <color rgb="FFFFFFFF"/>
      <name val="Calibri"/>
      <family val="2"/>
    </font>
    <font>
      <b/>
      <sz val="10"/>
      <color rgb="FF1B4F72"/>
      <name val="Calibri"/>
      <family val="2"/>
    </font>
    <font>
      <i/>
      <sz val="10"/>
      <color rgb="FF2874A6"/>
      <name val="Calibri"/>
      <family val="2"/>
    </font>
    <font>
      <sz val="10"/>
      <color rgb="FF1C2833"/>
      <name val="Calibri"/>
      <family val="2"/>
    </font>
    <font>
      <b/>
      <sz val="10"/>
      <color rgb="FFFFFFFF"/>
      <name val="Calibri"/>
      <family val="2"/>
    </font>
    <font>
      <b/>
      <sz val="12"/>
      <color rgb="FF1B4F72"/>
      <name val="Calibri"/>
      <family val="2"/>
    </font>
    <font>
      <b/>
      <sz val="11"/>
      <color theme="1"/>
      <name val="Trebuchet MS"/>
      <family val="2"/>
      <scheme val="minor"/>
    </font>
    <font>
      <b/>
      <sz val="20"/>
      <color theme="1"/>
      <name val="Calibri"/>
      <family val="2"/>
    </font>
    <font>
      <sz val="20"/>
      <color theme="1"/>
      <name val="Trebuchet MS"/>
      <family val="2"/>
      <scheme val="minor"/>
    </font>
    <font>
      <i/>
      <sz val="2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FFFFFF"/>
        <bgColor rgb="FFFFFFFF"/>
      </patternFill>
    </fill>
    <fill>
      <patternFill patternType="solid">
        <fgColor rgb="FFD4E6F1"/>
        <bgColor rgb="FFD4E6F1"/>
      </patternFill>
    </fill>
    <fill>
      <patternFill patternType="solid">
        <fgColor rgb="FFF8F9FA"/>
        <bgColor rgb="FFF8F9FA"/>
      </patternFill>
    </fill>
    <fill>
      <patternFill patternType="solid">
        <fgColor rgb="FF2874A6"/>
        <bgColor rgb="FF2874A6"/>
      </patternFill>
    </fill>
    <fill>
      <patternFill patternType="solid">
        <fgColor rgb="FF85C1E9"/>
        <bgColor rgb="FF85C1E9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9" fillId="8" borderId="10" xfId="0" applyFont="1" applyFill="1" applyBorder="1" applyAlignment="1">
      <alignment horizontal="center"/>
    </xf>
    <xf numFmtId="0" fontId="9" fillId="8" borderId="11" xfId="0" applyFont="1" applyFill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2833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2833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2833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2833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2833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2833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2874A6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B4F72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B4F72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2833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B4F72"/>
          <bgColor rgb="FF1B4F7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127000</xdr:colOff>
      <xdr:row>3</xdr:row>
      <xdr:rowOff>127001</xdr:rowOff>
    </xdr:from>
    <xdr:to>
      <xdr:col>3</xdr:col>
      <xdr:colOff>711200</xdr:colOff>
      <xdr:row>10</xdr:row>
      <xdr:rowOff>50801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PROGRAMA">
              <a:extLst>
                <a:ext uri="{FF2B5EF4-FFF2-40B4-BE49-F238E27FC236}">
                  <a16:creationId xmlns:a16="http://schemas.microsoft.com/office/drawing/2014/main" id="{EC73A2E4-1159-DE6C-DA64-A592A9217F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GRAM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7400" y="958851"/>
              <a:ext cx="3390900" cy="1212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Y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2182667</xdr:colOff>
      <xdr:row>3</xdr:row>
      <xdr:rowOff>77354</xdr:rowOff>
    </xdr:from>
    <xdr:to>
      <xdr:col>7</xdr:col>
      <xdr:colOff>499917</xdr:colOff>
      <xdr:row>13</xdr:row>
      <xdr:rowOff>229754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TARGET">
              <a:extLst>
                <a:ext uri="{FF2B5EF4-FFF2-40B4-BE49-F238E27FC236}">
                  <a16:creationId xmlns:a16="http://schemas.microsoft.com/office/drawing/2014/main" id="{756EED9D-A429-A7BF-7630-78E1FFB8B9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RGE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45122" y="908627"/>
              <a:ext cx="4390159" cy="19996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Y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800100</xdr:colOff>
      <xdr:row>3</xdr:row>
      <xdr:rowOff>88901</xdr:rowOff>
    </xdr:from>
    <xdr:to>
      <xdr:col>5</xdr:col>
      <xdr:colOff>1765300</xdr:colOff>
      <xdr:row>13</xdr:row>
      <xdr:rowOff>254001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RESPONSABLE">
              <a:extLst>
                <a:ext uri="{FF2B5EF4-FFF2-40B4-BE49-F238E27FC236}">
                  <a16:creationId xmlns:a16="http://schemas.microsoft.com/office/drawing/2014/main" id="{AEEEB77E-2130-3CEF-1476-73677DBD45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PONSAB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3736" y="920174"/>
              <a:ext cx="5364019" cy="2012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Y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GRAMA" xr10:uid="{91D33BBB-2481-449B-B884-00221A08AC44}" sourceName="PROGRAMA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ARGET" xr10:uid="{7E2962BD-F76F-4606-B744-E782AC40DAB4}" sourceName="TARGET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SPONSABLE" xr10:uid="{EC1DEF39-223F-4837-AE92-4C0C41501EA7}" sourceName="RESPONSABLE">
  <extLst>
    <x:ext xmlns:x15="http://schemas.microsoft.com/office/spreadsheetml/2010/11/main" uri="{2F2917AC-EB37-4324-AD4E-5DD8C200BD13}">
      <x15:tableSlicerCache tableId="1" column="8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GRAMA" xr10:uid="{3F0CC543-C514-461A-8A2E-6D0A6374BDDC}" cache="SegmentaciónDeDatos_PROGRAMA" caption="PROGRAMA" rowHeight="241300"/>
  <slicer name="TARGET" xr10:uid="{0326BBFE-B74E-4790-82D0-F1F6A5A47741}" cache="SegmentaciónDeDatos_TARGET" caption="TARGET" columnCount="2" rowHeight="241300"/>
  <slicer name="RESPONSABLE" xr10:uid="{F71ED756-5300-4F74-887C-29567A533D65}" cache="SegmentaciónDeDatos_RESPONSABLE" caption="RESPONSABLE" columnCount="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45FA2F-5A63-455C-A8A9-777371FE8441}" name="Tabla1" displayName="Tabla1" ref="B17:J64" totalsRowShown="0" headerRowDxfId="13" dataDxfId="12" headerRowBorderDxfId="10" tableBorderDxfId="11" totalsRowBorderDxfId="9">
  <autoFilter ref="B17:J64" xr:uid="{A145FA2F-5A63-455C-A8A9-777371FE8441}"/>
  <tableColumns count="9">
    <tableColumn id="1" xr3:uid="{38A48CE2-345C-43DD-B774-E769AE9C342F}" name="N°" dataDxfId="8"/>
    <tableColumn id="2" xr3:uid="{32CCBD4D-165F-4243-95FA-8C3B9B58DC12}" name="PROGRAMA" dataDxfId="7"/>
    <tableColumn id="3" xr3:uid="{A25B81FA-BD5A-4ACD-AA9A-CF0AF9BF4106}" name="TARGET" dataDxfId="6"/>
    <tableColumn id="4" xr3:uid="{12495B4E-8293-4E8A-8D35-D9F4F8FE95F6}" name="INDICADOR" dataDxfId="5"/>
    <tableColumn id="5" xr3:uid="{3AE7AF48-0FDA-4F25-9AC9-3BE2E77910A0}" name="FÓRMULA DE CÁLCULO" dataDxfId="4"/>
    <tableColumn id="6" xr3:uid="{77EEE046-2FF8-42D7-968F-47A36BAAECD6}" name="FUENTE DE VERIFICACIÓN" dataDxfId="3"/>
    <tableColumn id="7" xr3:uid="{DC814D11-6FE4-4587-AD9F-A03BEFF57417}" name="PERIODICIDAD" dataDxfId="2"/>
    <tableColumn id="8" xr3:uid="{1B58D661-8BF2-40D1-9D67-1FF073D55ED2}" name="RESPONSABLE" dataDxfId="1"/>
    <tableColumn id="9" xr3:uid="{E9B0A3C6-4B1A-4C8B-B8CE-6FE945E5E045}" name="EVIDENCIA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Faceta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Faceta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a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64"/>
  <sheetViews>
    <sheetView showGridLines="0" topLeftCell="B1" zoomScale="55" zoomScaleNormal="55" workbookViewId="0">
      <pane ySplit="17" topLeftCell="A18" activePane="bottomLeft" state="frozen"/>
      <selection pane="bottomLeft" activeCell="E20" sqref="E20"/>
      <selection activeCell="B1" sqref="B1"/>
    </sheetView>
  </sheetViews>
  <sheetFormatPr defaultColWidth="8.625" defaultRowHeight="14.45"/>
  <cols>
    <col min="2" max="2" width="4.875" customWidth="1"/>
    <col min="3" max="3" width="31.875" customWidth="1"/>
    <col min="4" max="4" width="27.875" customWidth="1"/>
    <col min="5" max="5" width="29.875" customWidth="1"/>
    <col min="6" max="6" width="44.875" customWidth="1"/>
    <col min="7" max="7" width="34.875" customWidth="1"/>
    <col min="8" max="8" width="15" customWidth="1"/>
    <col min="9" max="9" width="29.875" customWidth="1"/>
    <col min="10" max="10" width="34.875" customWidth="1"/>
    <col min="13" max="13" width="30.125" bestFit="1" customWidth="1"/>
    <col min="14" max="14" width="12.625" bestFit="1" customWidth="1"/>
  </cols>
  <sheetData>
    <row r="2" spans="2:9" ht="25.5">
      <c r="B2" s="31" t="s">
        <v>0</v>
      </c>
      <c r="C2" s="33"/>
      <c r="D2" s="33"/>
      <c r="E2" s="33"/>
      <c r="F2" s="33"/>
      <c r="G2" s="33"/>
      <c r="H2" s="33"/>
      <c r="I2" s="33"/>
    </row>
    <row r="3" spans="2:9" ht="25.5">
      <c r="B3" s="30" t="s">
        <v>1</v>
      </c>
      <c r="C3" s="33"/>
      <c r="D3" s="33"/>
      <c r="E3" s="33"/>
      <c r="F3" s="33"/>
      <c r="G3" s="33"/>
      <c r="H3" s="33"/>
      <c r="I3" s="33"/>
    </row>
    <row r="14" spans="2:9" ht="29.45" customHeight="1" thickBot="1"/>
    <row r="15" spans="2:9" ht="15.95" customHeight="1">
      <c r="E15" s="27" t="s">
        <v>2</v>
      </c>
    </row>
    <row r="16" spans="2:9" ht="18.600000000000001" customHeight="1" thickBot="1">
      <c r="E16" s="28">
        <f>+SUBTOTAL(3,Tabla1[INDICADOR])</f>
        <v>47</v>
      </c>
    </row>
    <row r="17" spans="2:10" ht="30.6" customHeight="1">
      <c r="B17" s="19" t="s">
        <v>3</v>
      </c>
      <c r="C17" s="20" t="s">
        <v>4</v>
      </c>
      <c r="D17" s="20" t="s">
        <v>5</v>
      </c>
      <c r="E17" s="20" t="s">
        <v>6</v>
      </c>
      <c r="F17" s="20" t="s">
        <v>7</v>
      </c>
      <c r="G17" s="20" t="s">
        <v>8</v>
      </c>
      <c r="H17" s="20" t="s">
        <v>9</v>
      </c>
      <c r="I17" s="20" t="s">
        <v>10</v>
      </c>
      <c r="J17" s="21" t="s">
        <v>11</v>
      </c>
    </row>
    <row r="18" spans="2:10" ht="23.1" customHeight="1">
      <c r="B18" s="15">
        <v>1</v>
      </c>
      <c r="C18" s="2" t="s">
        <v>12</v>
      </c>
      <c r="D18" s="3" t="s">
        <v>13</v>
      </c>
      <c r="E18" s="4" t="s">
        <v>14</v>
      </c>
      <c r="F18" s="4" t="s">
        <v>15</v>
      </c>
      <c r="G18" s="4" t="s">
        <v>16</v>
      </c>
      <c r="H18" s="4" t="s">
        <v>17</v>
      </c>
      <c r="I18" s="4" t="s">
        <v>18</v>
      </c>
      <c r="J18" s="17" t="s">
        <v>19</v>
      </c>
    </row>
    <row r="19" spans="2:10" ht="23.1" customHeight="1">
      <c r="B19" s="16">
        <v>2</v>
      </c>
      <c r="C19" s="5" t="s">
        <v>12</v>
      </c>
      <c r="D19" s="6" t="s">
        <v>13</v>
      </c>
      <c r="E19" s="7" t="s">
        <v>20</v>
      </c>
      <c r="F19" s="7" t="s">
        <v>21</v>
      </c>
      <c r="G19" s="7" t="s">
        <v>22</v>
      </c>
      <c r="H19" s="7" t="s">
        <v>17</v>
      </c>
      <c r="I19" s="7" t="s">
        <v>18</v>
      </c>
      <c r="J19" s="18" t="s">
        <v>23</v>
      </c>
    </row>
    <row r="20" spans="2:10" ht="23.1" customHeight="1">
      <c r="B20" s="15">
        <v>3</v>
      </c>
      <c r="C20" s="8" t="s">
        <v>12</v>
      </c>
      <c r="D20" s="3" t="s">
        <v>13</v>
      </c>
      <c r="E20" s="4" t="s">
        <v>24</v>
      </c>
      <c r="F20" s="4" t="s">
        <v>25</v>
      </c>
      <c r="G20" s="4" t="s">
        <v>16</v>
      </c>
      <c r="H20" s="4" t="s">
        <v>17</v>
      </c>
      <c r="I20" s="4" t="s">
        <v>26</v>
      </c>
      <c r="J20" s="17" t="s">
        <v>27</v>
      </c>
    </row>
    <row r="21" spans="2:10" ht="23.1" customHeight="1">
      <c r="B21" s="16">
        <v>4</v>
      </c>
      <c r="C21" s="5" t="s">
        <v>12</v>
      </c>
      <c r="D21" s="6" t="s">
        <v>13</v>
      </c>
      <c r="E21" s="7" t="s">
        <v>28</v>
      </c>
      <c r="F21" s="7" t="s">
        <v>29</v>
      </c>
      <c r="G21" s="7" t="s">
        <v>30</v>
      </c>
      <c r="H21" s="7" t="s">
        <v>31</v>
      </c>
      <c r="I21" s="7" t="s">
        <v>18</v>
      </c>
      <c r="J21" s="18" t="s">
        <v>32</v>
      </c>
    </row>
    <row r="22" spans="2:10" ht="23.1" customHeight="1">
      <c r="B22" s="15">
        <v>5</v>
      </c>
      <c r="C22" s="8" t="s">
        <v>12</v>
      </c>
      <c r="D22" s="3" t="s">
        <v>13</v>
      </c>
      <c r="E22" s="4" t="s">
        <v>33</v>
      </c>
      <c r="F22" s="4" t="s">
        <v>34</v>
      </c>
      <c r="G22" s="4" t="s">
        <v>35</v>
      </c>
      <c r="H22" s="4" t="s">
        <v>17</v>
      </c>
      <c r="I22" s="4" t="s">
        <v>26</v>
      </c>
      <c r="J22" s="17" t="s">
        <v>36</v>
      </c>
    </row>
    <row r="23" spans="2:10" ht="23.1" customHeight="1">
      <c r="B23" s="16">
        <v>6</v>
      </c>
      <c r="C23" s="5" t="s">
        <v>12</v>
      </c>
      <c r="D23" s="6" t="s">
        <v>13</v>
      </c>
      <c r="E23" s="7" t="s">
        <v>37</v>
      </c>
      <c r="F23" s="7" t="s">
        <v>38</v>
      </c>
      <c r="G23" s="7" t="s">
        <v>39</v>
      </c>
      <c r="H23" s="7" t="s">
        <v>31</v>
      </c>
      <c r="I23" s="7" t="s">
        <v>40</v>
      </c>
      <c r="J23" s="18" t="s">
        <v>41</v>
      </c>
    </row>
    <row r="24" spans="2:10" ht="23.1" customHeight="1">
      <c r="B24" s="15">
        <v>7</v>
      </c>
      <c r="C24" s="8" t="s">
        <v>12</v>
      </c>
      <c r="D24" s="3" t="s">
        <v>42</v>
      </c>
      <c r="E24" s="4" t="s">
        <v>43</v>
      </c>
      <c r="F24" s="4" t="s">
        <v>44</v>
      </c>
      <c r="G24" s="4" t="s">
        <v>45</v>
      </c>
      <c r="H24" s="4" t="s">
        <v>17</v>
      </c>
      <c r="I24" s="4" t="s">
        <v>46</v>
      </c>
      <c r="J24" s="17" t="s">
        <v>47</v>
      </c>
    </row>
    <row r="25" spans="2:10" ht="23.1" customHeight="1">
      <c r="B25" s="16">
        <v>8</v>
      </c>
      <c r="C25" s="5" t="s">
        <v>12</v>
      </c>
      <c r="D25" s="6" t="s">
        <v>42</v>
      </c>
      <c r="E25" s="7" t="s">
        <v>48</v>
      </c>
      <c r="F25" s="7" t="s">
        <v>49</v>
      </c>
      <c r="G25" s="7" t="s">
        <v>50</v>
      </c>
      <c r="H25" s="7" t="s">
        <v>17</v>
      </c>
      <c r="I25" s="7" t="s">
        <v>46</v>
      </c>
      <c r="J25" s="18" t="s">
        <v>51</v>
      </c>
    </row>
    <row r="26" spans="2:10" ht="23.1" customHeight="1">
      <c r="B26" s="15">
        <v>9</v>
      </c>
      <c r="C26" s="8" t="s">
        <v>12</v>
      </c>
      <c r="D26" s="3" t="s">
        <v>42</v>
      </c>
      <c r="E26" s="4" t="s">
        <v>52</v>
      </c>
      <c r="F26" s="4" t="s">
        <v>53</v>
      </c>
      <c r="G26" s="4" t="s">
        <v>54</v>
      </c>
      <c r="H26" s="4" t="s">
        <v>17</v>
      </c>
      <c r="I26" s="4" t="s">
        <v>46</v>
      </c>
      <c r="J26" s="17" t="s">
        <v>55</v>
      </c>
    </row>
    <row r="27" spans="2:10" ht="23.1" customHeight="1">
      <c r="B27" s="16">
        <v>10</v>
      </c>
      <c r="C27" s="5" t="s">
        <v>12</v>
      </c>
      <c r="D27" s="6" t="s">
        <v>42</v>
      </c>
      <c r="E27" s="7" t="s">
        <v>56</v>
      </c>
      <c r="F27" s="7" t="s">
        <v>57</v>
      </c>
      <c r="G27" s="7" t="s">
        <v>58</v>
      </c>
      <c r="H27" s="7" t="s">
        <v>59</v>
      </c>
      <c r="I27" s="7" t="s">
        <v>46</v>
      </c>
      <c r="J27" s="18" t="s">
        <v>60</v>
      </c>
    </row>
    <row r="28" spans="2:10" ht="23.1" customHeight="1">
      <c r="B28" s="15">
        <v>11</v>
      </c>
      <c r="C28" s="8" t="s">
        <v>12</v>
      </c>
      <c r="D28" s="3" t="s">
        <v>42</v>
      </c>
      <c r="E28" s="4" t="s">
        <v>61</v>
      </c>
      <c r="F28" s="4" t="s">
        <v>62</v>
      </c>
      <c r="G28" s="4" t="s">
        <v>63</v>
      </c>
      <c r="H28" s="4" t="s">
        <v>17</v>
      </c>
      <c r="I28" s="4" t="s">
        <v>46</v>
      </c>
      <c r="J28" s="17" t="s">
        <v>64</v>
      </c>
    </row>
    <row r="29" spans="2:10" ht="23.1" customHeight="1">
      <c r="B29" s="16">
        <v>12</v>
      </c>
      <c r="C29" s="5" t="s">
        <v>12</v>
      </c>
      <c r="D29" s="6" t="s">
        <v>42</v>
      </c>
      <c r="E29" s="7" t="s">
        <v>65</v>
      </c>
      <c r="F29" s="7" t="s">
        <v>66</v>
      </c>
      <c r="G29" s="7" t="s">
        <v>67</v>
      </c>
      <c r="H29" s="7" t="s">
        <v>31</v>
      </c>
      <c r="I29" s="7" t="s">
        <v>68</v>
      </c>
      <c r="J29" s="18" t="s">
        <v>69</v>
      </c>
    </row>
    <row r="30" spans="2:10" ht="23.1" customHeight="1">
      <c r="B30" s="15">
        <v>13</v>
      </c>
      <c r="C30" s="2" t="s">
        <v>70</v>
      </c>
      <c r="D30" s="3" t="s">
        <v>71</v>
      </c>
      <c r="E30" s="4" t="s">
        <v>72</v>
      </c>
      <c r="F30" s="4" t="s">
        <v>73</v>
      </c>
      <c r="G30" s="4" t="s">
        <v>74</v>
      </c>
      <c r="H30" s="4" t="s">
        <v>75</v>
      </c>
      <c r="I30" s="4" t="s">
        <v>76</v>
      </c>
      <c r="J30" s="17" t="s">
        <v>77</v>
      </c>
    </row>
    <row r="31" spans="2:10" ht="23.1" customHeight="1">
      <c r="B31" s="16">
        <v>14</v>
      </c>
      <c r="C31" s="5" t="s">
        <v>70</v>
      </c>
      <c r="D31" s="6" t="s">
        <v>71</v>
      </c>
      <c r="E31" s="7" t="s">
        <v>78</v>
      </c>
      <c r="F31" s="7" t="s">
        <v>79</v>
      </c>
      <c r="G31" s="7" t="s">
        <v>80</v>
      </c>
      <c r="H31" s="7" t="s">
        <v>31</v>
      </c>
      <c r="I31" s="7" t="s">
        <v>81</v>
      </c>
      <c r="J31" s="18" t="s">
        <v>82</v>
      </c>
    </row>
    <row r="32" spans="2:10" ht="23.1" customHeight="1">
      <c r="B32" s="15">
        <v>15</v>
      </c>
      <c r="C32" s="8" t="s">
        <v>70</v>
      </c>
      <c r="D32" s="3" t="s">
        <v>71</v>
      </c>
      <c r="E32" s="4" t="s">
        <v>83</v>
      </c>
      <c r="F32" s="4" t="s">
        <v>84</v>
      </c>
      <c r="G32" s="4" t="s">
        <v>85</v>
      </c>
      <c r="H32" s="4" t="s">
        <v>31</v>
      </c>
      <c r="I32" s="4" t="s">
        <v>76</v>
      </c>
      <c r="J32" s="17" t="s">
        <v>86</v>
      </c>
    </row>
    <row r="33" spans="2:10" ht="23.1" customHeight="1">
      <c r="B33" s="16">
        <v>16</v>
      </c>
      <c r="C33" s="5" t="s">
        <v>70</v>
      </c>
      <c r="D33" s="6" t="s">
        <v>71</v>
      </c>
      <c r="E33" s="7" t="s">
        <v>87</v>
      </c>
      <c r="F33" s="7" t="s">
        <v>88</v>
      </c>
      <c r="G33" s="7" t="s">
        <v>89</v>
      </c>
      <c r="H33" s="7" t="s">
        <v>90</v>
      </c>
      <c r="I33" s="7" t="s">
        <v>76</v>
      </c>
      <c r="J33" s="18" t="s">
        <v>91</v>
      </c>
    </row>
    <row r="34" spans="2:10" ht="23.1" customHeight="1">
      <c r="B34" s="15">
        <v>17</v>
      </c>
      <c r="C34" s="8" t="s">
        <v>70</v>
      </c>
      <c r="D34" s="3" t="s">
        <v>71</v>
      </c>
      <c r="E34" s="4" t="s">
        <v>92</v>
      </c>
      <c r="F34" s="4" t="s">
        <v>93</v>
      </c>
      <c r="G34" s="4" t="s">
        <v>94</v>
      </c>
      <c r="H34" s="4" t="s">
        <v>31</v>
      </c>
      <c r="I34" s="4" t="s">
        <v>76</v>
      </c>
      <c r="J34" s="17" t="s">
        <v>94</v>
      </c>
    </row>
    <row r="35" spans="2:10" ht="23.1" customHeight="1">
      <c r="B35" s="16">
        <v>18</v>
      </c>
      <c r="C35" s="5" t="s">
        <v>70</v>
      </c>
      <c r="D35" s="6" t="s">
        <v>71</v>
      </c>
      <c r="E35" s="7" t="s">
        <v>95</v>
      </c>
      <c r="F35" s="7" t="s">
        <v>96</v>
      </c>
      <c r="G35" s="7" t="s">
        <v>97</v>
      </c>
      <c r="H35" s="7" t="s">
        <v>90</v>
      </c>
      <c r="I35" s="7" t="s">
        <v>76</v>
      </c>
      <c r="J35" s="18" t="s">
        <v>98</v>
      </c>
    </row>
    <row r="36" spans="2:10" ht="23.1" customHeight="1">
      <c r="B36" s="15">
        <v>19</v>
      </c>
      <c r="C36" s="8" t="s">
        <v>70</v>
      </c>
      <c r="D36" s="3" t="s">
        <v>71</v>
      </c>
      <c r="E36" s="4" t="s">
        <v>99</v>
      </c>
      <c r="F36" s="4" t="s">
        <v>100</v>
      </c>
      <c r="G36" s="4" t="s">
        <v>67</v>
      </c>
      <c r="H36" s="4" t="s">
        <v>31</v>
      </c>
      <c r="I36" s="4" t="s">
        <v>68</v>
      </c>
      <c r="J36" s="17" t="s">
        <v>101</v>
      </c>
    </row>
    <row r="37" spans="2:10" ht="23.1" customHeight="1">
      <c r="B37" s="16">
        <v>20</v>
      </c>
      <c r="C37" s="5" t="s">
        <v>70</v>
      </c>
      <c r="D37" s="6" t="s">
        <v>102</v>
      </c>
      <c r="E37" s="7" t="s">
        <v>103</v>
      </c>
      <c r="F37" s="7" t="s">
        <v>104</v>
      </c>
      <c r="G37" s="7" t="s">
        <v>105</v>
      </c>
      <c r="H37" s="7" t="s">
        <v>31</v>
      </c>
      <c r="I37" s="7" t="s">
        <v>76</v>
      </c>
      <c r="J37" s="18" t="s">
        <v>106</v>
      </c>
    </row>
    <row r="38" spans="2:10" ht="23.1" customHeight="1">
      <c r="B38" s="15">
        <v>21</v>
      </c>
      <c r="C38" s="8" t="s">
        <v>70</v>
      </c>
      <c r="D38" s="3" t="s">
        <v>102</v>
      </c>
      <c r="E38" s="4" t="s">
        <v>107</v>
      </c>
      <c r="F38" s="4" t="s">
        <v>108</v>
      </c>
      <c r="G38" s="4" t="s">
        <v>109</v>
      </c>
      <c r="H38" s="4" t="s">
        <v>31</v>
      </c>
      <c r="I38" s="4" t="s">
        <v>76</v>
      </c>
      <c r="J38" s="17" t="s">
        <v>109</v>
      </c>
    </row>
    <row r="39" spans="2:10" ht="23.1" customHeight="1">
      <c r="B39" s="16">
        <v>22</v>
      </c>
      <c r="C39" s="5" t="s">
        <v>70</v>
      </c>
      <c r="D39" s="6" t="s">
        <v>102</v>
      </c>
      <c r="E39" s="7" t="s">
        <v>110</v>
      </c>
      <c r="F39" s="7" t="s">
        <v>111</v>
      </c>
      <c r="G39" s="7" t="s">
        <v>112</v>
      </c>
      <c r="H39" s="7" t="s">
        <v>90</v>
      </c>
      <c r="I39" s="7" t="s">
        <v>113</v>
      </c>
      <c r="J39" s="18" t="s">
        <v>114</v>
      </c>
    </row>
    <row r="40" spans="2:10" ht="23.1" customHeight="1">
      <c r="B40" s="15">
        <v>23</v>
      </c>
      <c r="C40" s="8" t="s">
        <v>70</v>
      </c>
      <c r="D40" s="3" t="s">
        <v>102</v>
      </c>
      <c r="E40" s="4" t="s">
        <v>83</v>
      </c>
      <c r="F40" s="4" t="s">
        <v>115</v>
      </c>
      <c r="G40" s="4" t="s">
        <v>116</v>
      </c>
      <c r="H40" s="4" t="s">
        <v>31</v>
      </c>
      <c r="I40" s="4" t="s">
        <v>76</v>
      </c>
      <c r="J40" s="17" t="s">
        <v>117</v>
      </c>
    </row>
    <row r="41" spans="2:10" ht="23.1" customHeight="1">
      <c r="B41" s="16">
        <v>24</v>
      </c>
      <c r="C41" s="5" t="s">
        <v>70</v>
      </c>
      <c r="D41" s="6" t="s">
        <v>102</v>
      </c>
      <c r="E41" s="7" t="s">
        <v>99</v>
      </c>
      <c r="F41" s="7" t="s">
        <v>118</v>
      </c>
      <c r="G41" s="7" t="s">
        <v>67</v>
      </c>
      <c r="H41" s="7" t="s">
        <v>31</v>
      </c>
      <c r="I41" s="7" t="s">
        <v>68</v>
      </c>
      <c r="J41" s="18" t="s">
        <v>101</v>
      </c>
    </row>
    <row r="42" spans="2:10" ht="23.1" customHeight="1">
      <c r="B42" s="15">
        <v>25</v>
      </c>
      <c r="C42" s="8" t="s">
        <v>70</v>
      </c>
      <c r="D42" s="3" t="s">
        <v>119</v>
      </c>
      <c r="E42" s="4" t="s">
        <v>120</v>
      </c>
      <c r="F42" s="4" t="s">
        <v>121</v>
      </c>
      <c r="G42" s="4" t="s">
        <v>74</v>
      </c>
      <c r="H42" s="4" t="s">
        <v>75</v>
      </c>
      <c r="I42" s="4" t="s">
        <v>76</v>
      </c>
      <c r="J42" s="17" t="s">
        <v>77</v>
      </c>
    </row>
    <row r="43" spans="2:10" ht="23.1" customHeight="1">
      <c r="B43" s="16">
        <v>26</v>
      </c>
      <c r="C43" s="5" t="s">
        <v>70</v>
      </c>
      <c r="D43" s="6" t="s">
        <v>119</v>
      </c>
      <c r="E43" s="7" t="s">
        <v>122</v>
      </c>
      <c r="F43" s="7" t="s">
        <v>123</v>
      </c>
      <c r="G43" s="7" t="s">
        <v>124</v>
      </c>
      <c r="H43" s="7" t="s">
        <v>31</v>
      </c>
      <c r="I43" s="7" t="s">
        <v>76</v>
      </c>
      <c r="J43" s="18" t="s">
        <v>125</v>
      </c>
    </row>
    <row r="44" spans="2:10" ht="23.1" customHeight="1">
      <c r="B44" s="15">
        <v>27</v>
      </c>
      <c r="C44" s="8" t="s">
        <v>70</v>
      </c>
      <c r="D44" s="3" t="s">
        <v>119</v>
      </c>
      <c r="E44" s="4" t="s">
        <v>126</v>
      </c>
      <c r="F44" s="4" t="s">
        <v>127</v>
      </c>
      <c r="G44" s="4" t="s">
        <v>45</v>
      </c>
      <c r="H44" s="4" t="s">
        <v>128</v>
      </c>
      <c r="I44" s="4" t="s">
        <v>76</v>
      </c>
      <c r="J44" s="17" t="s">
        <v>129</v>
      </c>
    </row>
    <row r="45" spans="2:10" ht="23.1" customHeight="1">
      <c r="B45" s="16">
        <v>28</v>
      </c>
      <c r="C45" s="5" t="s">
        <v>70</v>
      </c>
      <c r="D45" s="6" t="s">
        <v>119</v>
      </c>
      <c r="E45" s="7" t="s">
        <v>130</v>
      </c>
      <c r="F45" s="7" t="s">
        <v>131</v>
      </c>
      <c r="G45" s="7" t="s">
        <v>132</v>
      </c>
      <c r="H45" s="7" t="s">
        <v>90</v>
      </c>
      <c r="I45" s="7" t="s">
        <v>133</v>
      </c>
      <c r="J45" s="18" t="s">
        <v>134</v>
      </c>
    </row>
    <row r="46" spans="2:10" ht="23.1" customHeight="1">
      <c r="B46" s="15">
        <v>29</v>
      </c>
      <c r="C46" s="8" t="s">
        <v>70</v>
      </c>
      <c r="D46" s="3" t="s">
        <v>119</v>
      </c>
      <c r="E46" s="4" t="s">
        <v>135</v>
      </c>
      <c r="F46" s="4" t="s">
        <v>136</v>
      </c>
      <c r="G46" s="4" t="s">
        <v>94</v>
      </c>
      <c r="H46" s="4" t="s">
        <v>137</v>
      </c>
      <c r="I46" s="4" t="s">
        <v>76</v>
      </c>
      <c r="J46" s="17" t="s">
        <v>138</v>
      </c>
    </row>
    <row r="47" spans="2:10" ht="23.1" customHeight="1">
      <c r="B47" s="16">
        <v>30</v>
      </c>
      <c r="C47" s="5" t="s">
        <v>70</v>
      </c>
      <c r="D47" s="6" t="s">
        <v>119</v>
      </c>
      <c r="E47" s="7" t="s">
        <v>139</v>
      </c>
      <c r="F47" s="7" t="s">
        <v>57</v>
      </c>
      <c r="G47" s="7" t="s">
        <v>140</v>
      </c>
      <c r="H47" s="7" t="s">
        <v>59</v>
      </c>
      <c r="I47" s="7" t="s">
        <v>76</v>
      </c>
      <c r="J47" s="18" t="s">
        <v>141</v>
      </c>
    </row>
    <row r="48" spans="2:10" ht="23.1" customHeight="1">
      <c r="B48" s="15">
        <v>31</v>
      </c>
      <c r="C48" s="8" t="s">
        <v>70</v>
      </c>
      <c r="D48" s="3" t="s">
        <v>119</v>
      </c>
      <c r="E48" s="4" t="s">
        <v>99</v>
      </c>
      <c r="F48" s="4" t="s">
        <v>142</v>
      </c>
      <c r="G48" s="4" t="s">
        <v>67</v>
      </c>
      <c r="H48" s="4" t="s">
        <v>31</v>
      </c>
      <c r="I48" s="4" t="s">
        <v>68</v>
      </c>
      <c r="J48" s="17" t="s">
        <v>101</v>
      </c>
    </row>
    <row r="49" spans="2:10" ht="23.1" customHeight="1">
      <c r="B49" s="16">
        <v>32</v>
      </c>
      <c r="C49" s="5" t="s">
        <v>70</v>
      </c>
      <c r="D49" s="6" t="s">
        <v>143</v>
      </c>
      <c r="E49" s="7" t="s">
        <v>144</v>
      </c>
      <c r="F49" s="7" t="s">
        <v>145</v>
      </c>
      <c r="G49" s="7" t="s">
        <v>146</v>
      </c>
      <c r="H49" s="7" t="s">
        <v>75</v>
      </c>
      <c r="I49" s="7" t="s">
        <v>147</v>
      </c>
      <c r="J49" s="18" t="s">
        <v>148</v>
      </c>
    </row>
    <row r="50" spans="2:10" ht="23.1" customHeight="1">
      <c r="B50" s="15">
        <v>33</v>
      </c>
      <c r="C50" s="8" t="s">
        <v>70</v>
      </c>
      <c r="D50" s="3" t="s">
        <v>143</v>
      </c>
      <c r="E50" s="4" t="s">
        <v>149</v>
      </c>
      <c r="F50" s="4" t="s">
        <v>150</v>
      </c>
      <c r="G50" s="4" t="s">
        <v>151</v>
      </c>
      <c r="H50" s="4" t="s">
        <v>137</v>
      </c>
      <c r="I50" s="4" t="s">
        <v>76</v>
      </c>
      <c r="J50" s="17" t="s">
        <v>152</v>
      </c>
    </row>
    <row r="51" spans="2:10" ht="23.1" customHeight="1">
      <c r="B51" s="16">
        <v>34</v>
      </c>
      <c r="C51" s="5" t="s">
        <v>70</v>
      </c>
      <c r="D51" s="6" t="s">
        <v>143</v>
      </c>
      <c r="E51" s="7" t="s">
        <v>153</v>
      </c>
      <c r="F51" s="7" t="s">
        <v>154</v>
      </c>
      <c r="G51" s="7" t="s">
        <v>45</v>
      </c>
      <c r="H51" s="7" t="s">
        <v>155</v>
      </c>
      <c r="I51" s="7" t="s">
        <v>76</v>
      </c>
      <c r="J51" s="18" t="s">
        <v>129</v>
      </c>
    </row>
    <row r="52" spans="2:10" ht="23.1" customHeight="1">
      <c r="B52" s="15">
        <v>35</v>
      </c>
      <c r="C52" s="8" t="s">
        <v>70</v>
      </c>
      <c r="D52" s="3" t="s">
        <v>143</v>
      </c>
      <c r="E52" s="4" t="s">
        <v>156</v>
      </c>
      <c r="F52" s="4" t="s">
        <v>157</v>
      </c>
      <c r="G52" s="4" t="s">
        <v>116</v>
      </c>
      <c r="H52" s="4" t="s">
        <v>155</v>
      </c>
      <c r="I52" s="4" t="s">
        <v>76</v>
      </c>
      <c r="J52" s="17" t="s">
        <v>158</v>
      </c>
    </row>
    <row r="53" spans="2:10" ht="23.1" customHeight="1">
      <c r="B53" s="16">
        <v>36</v>
      </c>
      <c r="C53" s="5" t="s">
        <v>70</v>
      </c>
      <c r="D53" s="6" t="s">
        <v>143</v>
      </c>
      <c r="E53" s="7" t="s">
        <v>99</v>
      </c>
      <c r="F53" s="7" t="s">
        <v>159</v>
      </c>
      <c r="G53" s="7" t="s">
        <v>67</v>
      </c>
      <c r="H53" s="7" t="s">
        <v>31</v>
      </c>
      <c r="I53" s="7" t="s">
        <v>68</v>
      </c>
      <c r="J53" s="18" t="s">
        <v>101</v>
      </c>
    </row>
    <row r="54" spans="2:10" ht="23.1" customHeight="1">
      <c r="B54" s="15">
        <v>37</v>
      </c>
      <c r="C54" s="2" t="s">
        <v>160</v>
      </c>
      <c r="D54" s="3" t="s">
        <v>161</v>
      </c>
      <c r="E54" s="4" t="s">
        <v>162</v>
      </c>
      <c r="F54" s="4" t="s">
        <v>163</v>
      </c>
      <c r="G54" s="4" t="s">
        <v>45</v>
      </c>
      <c r="H54" s="4" t="s">
        <v>164</v>
      </c>
      <c r="I54" s="4" t="s">
        <v>165</v>
      </c>
      <c r="J54" s="17" t="s">
        <v>129</v>
      </c>
    </row>
    <row r="55" spans="2:10" ht="23.1" customHeight="1">
      <c r="B55" s="16">
        <v>38</v>
      </c>
      <c r="C55" s="5" t="s">
        <v>160</v>
      </c>
      <c r="D55" s="6" t="s">
        <v>161</v>
      </c>
      <c r="E55" s="7" t="s">
        <v>166</v>
      </c>
      <c r="F55" s="7" t="s">
        <v>167</v>
      </c>
      <c r="G55" s="7" t="s">
        <v>168</v>
      </c>
      <c r="H55" s="7" t="s">
        <v>164</v>
      </c>
      <c r="I55" s="7" t="s">
        <v>165</v>
      </c>
      <c r="J55" s="18" t="s">
        <v>169</v>
      </c>
    </row>
    <row r="56" spans="2:10" ht="23.1" customHeight="1">
      <c r="B56" s="15">
        <v>39</v>
      </c>
      <c r="C56" s="8" t="s">
        <v>160</v>
      </c>
      <c r="D56" s="3" t="s">
        <v>161</v>
      </c>
      <c r="E56" s="4" t="s">
        <v>170</v>
      </c>
      <c r="F56" s="4" t="s">
        <v>171</v>
      </c>
      <c r="G56" s="4" t="s">
        <v>172</v>
      </c>
      <c r="H56" s="4" t="s">
        <v>164</v>
      </c>
      <c r="I56" s="4" t="s">
        <v>165</v>
      </c>
      <c r="J56" s="17" t="s">
        <v>173</v>
      </c>
    </row>
    <row r="57" spans="2:10" ht="23.1" customHeight="1">
      <c r="B57" s="16">
        <v>40</v>
      </c>
      <c r="C57" s="5" t="s">
        <v>160</v>
      </c>
      <c r="D57" s="6" t="s">
        <v>161</v>
      </c>
      <c r="E57" s="7" t="s">
        <v>174</v>
      </c>
      <c r="F57" s="7" t="s">
        <v>175</v>
      </c>
      <c r="G57" s="7" t="s">
        <v>176</v>
      </c>
      <c r="H57" s="7" t="s">
        <v>164</v>
      </c>
      <c r="I57" s="7" t="s">
        <v>165</v>
      </c>
      <c r="J57" s="18" t="s">
        <v>158</v>
      </c>
    </row>
    <row r="58" spans="2:10" ht="23.1" customHeight="1">
      <c r="B58" s="15">
        <v>41</v>
      </c>
      <c r="C58" s="8" t="s">
        <v>160</v>
      </c>
      <c r="D58" s="3" t="s">
        <v>161</v>
      </c>
      <c r="E58" s="4" t="s">
        <v>177</v>
      </c>
      <c r="F58" s="4" t="s">
        <v>178</v>
      </c>
      <c r="G58" s="4" t="s">
        <v>45</v>
      </c>
      <c r="H58" s="4" t="s">
        <v>179</v>
      </c>
      <c r="I58" s="4" t="s">
        <v>165</v>
      </c>
      <c r="J58" s="17" t="s">
        <v>180</v>
      </c>
    </row>
    <row r="59" spans="2:10" ht="23.1" customHeight="1">
      <c r="B59" s="16">
        <v>42</v>
      </c>
      <c r="C59" s="5" t="s">
        <v>160</v>
      </c>
      <c r="D59" s="6" t="s">
        <v>161</v>
      </c>
      <c r="E59" s="7" t="s">
        <v>99</v>
      </c>
      <c r="F59" s="7" t="s">
        <v>181</v>
      </c>
      <c r="G59" s="7" t="s">
        <v>67</v>
      </c>
      <c r="H59" s="7" t="s">
        <v>31</v>
      </c>
      <c r="I59" s="7" t="s">
        <v>68</v>
      </c>
      <c r="J59" s="18" t="s">
        <v>101</v>
      </c>
    </row>
    <row r="60" spans="2:10" ht="23.1" customHeight="1">
      <c r="B60" s="15">
        <v>43</v>
      </c>
      <c r="C60" s="8" t="s">
        <v>160</v>
      </c>
      <c r="D60" s="3" t="s">
        <v>182</v>
      </c>
      <c r="E60" s="4" t="s">
        <v>183</v>
      </c>
      <c r="F60" s="4" t="s">
        <v>184</v>
      </c>
      <c r="G60" s="4" t="s">
        <v>45</v>
      </c>
      <c r="H60" s="4" t="s">
        <v>164</v>
      </c>
      <c r="I60" s="4" t="s">
        <v>165</v>
      </c>
      <c r="J60" s="17" t="s">
        <v>129</v>
      </c>
    </row>
    <row r="61" spans="2:10" ht="23.1" customHeight="1">
      <c r="B61" s="16">
        <v>44</v>
      </c>
      <c r="C61" s="5" t="s">
        <v>160</v>
      </c>
      <c r="D61" s="6" t="s">
        <v>182</v>
      </c>
      <c r="E61" s="7" t="s">
        <v>185</v>
      </c>
      <c r="F61" s="7" t="s">
        <v>167</v>
      </c>
      <c r="G61" s="7" t="s">
        <v>186</v>
      </c>
      <c r="H61" s="7" t="s">
        <v>75</v>
      </c>
      <c r="I61" s="7" t="s">
        <v>165</v>
      </c>
      <c r="J61" s="18" t="s">
        <v>169</v>
      </c>
    </row>
    <row r="62" spans="2:10" ht="23.1" customHeight="1">
      <c r="B62" s="15">
        <v>45</v>
      </c>
      <c r="C62" s="8" t="s">
        <v>160</v>
      </c>
      <c r="D62" s="3" t="s">
        <v>182</v>
      </c>
      <c r="E62" s="4" t="s">
        <v>156</v>
      </c>
      <c r="F62" s="4" t="s">
        <v>187</v>
      </c>
      <c r="G62" s="4" t="s">
        <v>188</v>
      </c>
      <c r="H62" s="4" t="s">
        <v>164</v>
      </c>
      <c r="I62" s="4" t="s">
        <v>165</v>
      </c>
      <c r="J62" s="17" t="s">
        <v>189</v>
      </c>
    </row>
    <row r="63" spans="2:10" ht="23.1" customHeight="1">
      <c r="B63" s="16">
        <v>46</v>
      </c>
      <c r="C63" s="5" t="s">
        <v>160</v>
      </c>
      <c r="D63" s="6" t="s">
        <v>182</v>
      </c>
      <c r="E63" s="7" t="s">
        <v>177</v>
      </c>
      <c r="F63" s="7" t="s">
        <v>190</v>
      </c>
      <c r="G63" s="7" t="s">
        <v>45</v>
      </c>
      <c r="H63" s="7" t="s">
        <v>179</v>
      </c>
      <c r="I63" s="7" t="s">
        <v>165</v>
      </c>
      <c r="J63" s="18" t="s">
        <v>180</v>
      </c>
    </row>
    <row r="64" spans="2:10" ht="23.1" customHeight="1">
      <c r="B64" s="22">
        <v>47</v>
      </c>
      <c r="C64" s="23" t="s">
        <v>160</v>
      </c>
      <c r="D64" s="24" t="s">
        <v>182</v>
      </c>
      <c r="E64" s="25" t="s">
        <v>99</v>
      </c>
      <c r="F64" s="25" t="s">
        <v>191</v>
      </c>
      <c r="G64" s="25" t="s">
        <v>67</v>
      </c>
      <c r="H64" s="25" t="s">
        <v>31</v>
      </c>
      <c r="I64" s="25" t="s">
        <v>68</v>
      </c>
      <c r="J64" s="26" t="s">
        <v>101</v>
      </c>
    </row>
  </sheetData>
  <mergeCells count="2">
    <mergeCell ref="B3:I3"/>
    <mergeCell ref="B2:I2"/>
  </mergeCells>
  <pageMargins left="0.75" right="0.75" top="1" bottom="1" header="0.5" footer="0.5"/>
  <pageSetup orientation="portrait" r:id="rId1"/>
  <drawing r:id="rId2"/>
  <picture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9"/>
  <sheetViews>
    <sheetView showGridLines="0" workbookViewId="0">
      <selection activeCell="D19" sqref="D18:D19"/>
    </sheetView>
  </sheetViews>
  <sheetFormatPr defaultColWidth="8.625" defaultRowHeight="14.45"/>
  <cols>
    <col min="2" max="2" width="37.875" customWidth="1"/>
    <col min="3" max="3" width="11.875" customWidth="1"/>
    <col min="4" max="4" width="13.875" customWidth="1"/>
    <col min="5" max="5" width="17.875" customWidth="1"/>
    <col min="6" max="6" width="19.875" customWidth="1"/>
    <col min="7" max="7" width="37.875" customWidth="1"/>
  </cols>
  <sheetData>
    <row r="2" spans="2:8" ht="27.95" customHeight="1">
      <c r="B2" s="29" t="s">
        <v>192</v>
      </c>
      <c r="C2" s="34"/>
      <c r="D2" s="34"/>
      <c r="E2" s="34"/>
      <c r="F2" s="34"/>
      <c r="G2" s="34"/>
      <c r="H2" s="34"/>
    </row>
    <row r="3" spans="2:8">
      <c r="B3" s="32" t="s">
        <v>193</v>
      </c>
      <c r="C3" s="34"/>
      <c r="D3" s="34"/>
      <c r="E3" s="34"/>
      <c r="F3" s="34"/>
      <c r="G3" s="34"/>
      <c r="H3" s="34"/>
    </row>
    <row r="5" spans="2:8" ht="21.95" customHeight="1">
      <c r="B5" s="1" t="s">
        <v>4</v>
      </c>
      <c r="C5" s="1" t="s">
        <v>194</v>
      </c>
      <c r="D5" s="1" t="s">
        <v>195</v>
      </c>
      <c r="E5" s="1" t="s">
        <v>196</v>
      </c>
      <c r="F5" s="1" t="s">
        <v>9</v>
      </c>
      <c r="G5" s="1" t="s">
        <v>197</v>
      </c>
    </row>
    <row r="6" spans="2:8" ht="27.95" customHeight="1">
      <c r="B6" s="8" t="s">
        <v>198</v>
      </c>
      <c r="C6" s="9">
        <v>2</v>
      </c>
      <c r="D6" s="9">
        <v>12</v>
      </c>
      <c r="E6" s="9" t="s">
        <v>199</v>
      </c>
      <c r="F6" s="9" t="s">
        <v>200</v>
      </c>
      <c r="G6" s="9" t="s">
        <v>18</v>
      </c>
    </row>
    <row r="7" spans="2:8" ht="27.95" customHeight="1">
      <c r="B7" s="5" t="s">
        <v>201</v>
      </c>
      <c r="C7" s="10">
        <v>4</v>
      </c>
      <c r="D7" s="10">
        <v>27</v>
      </c>
      <c r="E7" s="10" t="s">
        <v>202</v>
      </c>
      <c r="F7" s="10" t="s">
        <v>203</v>
      </c>
      <c r="G7" s="10" t="s">
        <v>204</v>
      </c>
    </row>
    <row r="8" spans="2:8" ht="27.95" customHeight="1">
      <c r="B8" s="8" t="s">
        <v>205</v>
      </c>
      <c r="C8" s="9">
        <v>2</v>
      </c>
      <c r="D8" s="9">
        <v>11</v>
      </c>
      <c r="E8" s="9" t="s">
        <v>206</v>
      </c>
      <c r="F8" s="9" t="s">
        <v>207</v>
      </c>
      <c r="G8" s="9" t="s">
        <v>208</v>
      </c>
    </row>
    <row r="9" spans="2:8" ht="27.95" customHeight="1">
      <c r="B9" s="11" t="s">
        <v>209</v>
      </c>
      <c r="C9" s="12">
        <v>8</v>
      </c>
      <c r="D9" s="12">
        <v>50</v>
      </c>
      <c r="E9" s="12" t="s">
        <v>210</v>
      </c>
      <c r="F9" s="12" t="s">
        <v>211</v>
      </c>
      <c r="G9" s="12" t="s">
        <v>212</v>
      </c>
    </row>
  </sheetData>
  <mergeCells count="2">
    <mergeCell ref="B3:H3"/>
    <mergeCell ref="B2:H2"/>
  </mergeCells>
  <pageMargins left="0.75" right="0.75" top="1" bottom="1" header="0.5" footer="0.5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17"/>
  <sheetViews>
    <sheetView showGridLines="0" workbookViewId="0">
      <selection activeCell="D27" sqref="D27"/>
    </sheetView>
  </sheetViews>
  <sheetFormatPr defaultColWidth="8.625" defaultRowHeight="14.45"/>
  <cols>
    <col min="2" max="2" width="31.875" customWidth="1"/>
    <col min="3" max="14" width="6.875" customWidth="1"/>
  </cols>
  <sheetData>
    <row r="2" spans="2:14">
      <c r="B2" s="29" t="s">
        <v>213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2:14">
      <c r="B3" s="32" t="s">
        <v>214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5" spans="2:14">
      <c r="B5" s="1" t="s">
        <v>215</v>
      </c>
      <c r="C5" s="1" t="s">
        <v>216</v>
      </c>
      <c r="D5" s="1" t="s">
        <v>217</v>
      </c>
      <c r="E5" s="1" t="s">
        <v>218</v>
      </c>
      <c r="F5" s="1" t="s">
        <v>219</v>
      </c>
      <c r="G5" s="1" t="s">
        <v>220</v>
      </c>
      <c r="H5" s="1" t="s">
        <v>221</v>
      </c>
      <c r="I5" s="1" t="s">
        <v>222</v>
      </c>
      <c r="J5" s="1" t="s">
        <v>223</v>
      </c>
      <c r="K5" s="1" t="s">
        <v>224</v>
      </c>
      <c r="L5" s="1" t="s">
        <v>225</v>
      </c>
      <c r="M5" s="1" t="s">
        <v>226</v>
      </c>
      <c r="N5" s="1" t="s">
        <v>227</v>
      </c>
    </row>
    <row r="6" spans="2:14">
      <c r="B6" s="2" t="s">
        <v>228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2:14" ht="15.6">
      <c r="B7" s="7" t="s">
        <v>229</v>
      </c>
      <c r="C7" s="14" t="s">
        <v>230</v>
      </c>
      <c r="D7" s="14" t="s">
        <v>230</v>
      </c>
      <c r="E7" s="14" t="s">
        <v>230</v>
      </c>
      <c r="F7" s="14" t="s">
        <v>230</v>
      </c>
      <c r="G7" s="14" t="s">
        <v>230</v>
      </c>
      <c r="H7" s="14" t="s">
        <v>230</v>
      </c>
      <c r="I7" s="14" t="s">
        <v>230</v>
      </c>
      <c r="J7" s="14" t="s">
        <v>230</v>
      </c>
      <c r="K7" s="14" t="s">
        <v>230</v>
      </c>
      <c r="L7" s="14" t="s">
        <v>230</v>
      </c>
      <c r="M7" s="14" t="s">
        <v>230</v>
      </c>
      <c r="N7" s="14" t="s">
        <v>230</v>
      </c>
    </row>
    <row r="8" spans="2:14" ht="15.6">
      <c r="B8" s="4" t="s">
        <v>231</v>
      </c>
      <c r="C8" s="9"/>
      <c r="D8" s="9"/>
      <c r="E8" s="14" t="s">
        <v>230</v>
      </c>
      <c r="F8" s="9"/>
      <c r="G8" s="9"/>
      <c r="H8" s="14" t="s">
        <v>230</v>
      </c>
      <c r="I8" s="14" t="s">
        <v>230</v>
      </c>
      <c r="J8" s="14" t="s">
        <v>230</v>
      </c>
      <c r="K8" s="14" t="s">
        <v>230</v>
      </c>
      <c r="L8" s="9"/>
      <c r="M8" s="14" t="s">
        <v>230</v>
      </c>
      <c r="N8" s="14" t="s">
        <v>230</v>
      </c>
    </row>
    <row r="9" spans="2:14">
      <c r="B9" s="2" t="s">
        <v>70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2:14" ht="15.6">
      <c r="B10" s="4" t="s">
        <v>232</v>
      </c>
      <c r="C10" s="14" t="s">
        <v>230</v>
      </c>
      <c r="D10" s="14" t="s">
        <v>230</v>
      </c>
      <c r="E10" s="14" t="s">
        <v>230</v>
      </c>
      <c r="F10" s="14" t="s">
        <v>230</v>
      </c>
      <c r="G10" s="14" t="s">
        <v>230</v>
      </c>
      <c r="H10" s="14" t="s">
        <v>230</v>
      </c>
      <c r="I10" s="14" t="s">
        <v>230</v>
      </c>
      <c r="J10" s="14" t="s">
        <v>230</v>
      </c>
      <c r="K10" s="14" t="s">
        <v>230</v>
      </c>
      <c r="L10" s="14" t="s">
        <v>230</v>
      </c>
      <c r="M10" s="14" t="s">
        <v>230</v>
      </c>
      <c r="N10" s="14" t="s">
        <v>230</v>
      </c>
    </row>
    <row r="11" spans="2:14" ht="15.6">
      <c r="B11" s="7" t="s">
        <v>233</v>
      </c>
      <c r="C11" s="14" t="s">
        <v>230</v>
      </c>
      <c r="D11" s="14" t="s">
        <v>230</v>
      </c>
      <c r="E11" s="14" t="s">
        <v>230</v>
      </c>
      <c r="F11" s="14" t="s">
        <v>230</v>
      </c>
      <c r="G11" s="14" t="s">
        <v>230</v>
      </c>
      <c r="H11" s="14" t="s">
        <v>230</v>
      </c>
      <c r="I11" s="14" t="s">
        <v>230</v>
      </c>
      <c r="J11" s="14" t="s">
        <v>230</v>
      </c>
      <c r="K11" s="14" t="s">
        <v>230</v>
      </c>
      <c r="L11" s="14" t="s">
        <v>230</v>
      </c>
      <c r="M11" s="14" t="s">
        <v>230</v>
      </c>
      <c r="N11" s="14" t="s">
        <v>230</v>
      </c>
    </row>
    <row r="12" spans="2:14" ht="15.6">
      <c r="B12" s="4" t="s">
        <v>234</v>
      </c>
      <c r="C12" s="14" t="s">
        <v>230</v>
      </c>
      <c r="D12" s="14" t="s">
        <v>230</v>
      </c>
      <c r="E12" s="14" t="s">
        <v>230</v>
      </c>
      <c r="F12" s="14" t="s">
        <v>230</v>
      </c>
      <c r="G12" s="14" t="s">
        <v>230</v>
      </c>
      <c r="H12" s="14" t="s">
        <v>230</v>
      </c>
      <c r="I12" s="14" t="s">
        <v>230</v>
      </c>
      <c r="J12" s="14" t="s">
        <v>230</v>
      </c>
      <c r="K12" s="14" t="s">
        <v>230</v>
      </c>
      <c r="L12" s="14" t="s">
        <v>230</v>
      </c>
      <c r="M12" s="14" t="s">
        <v>230</v>
      </c>
      <c r="N12" s="14" t="s">
        <v>230</v>
      </c>
    </row>
    <row r="13" spans="2:14" ht="15.6">
      <c r="B13" s="7" t="s">
        <v>235</v>
      </c>
      <c r="C13" s="10"/>
      <c r="D13" s="10"/>
      <c r="E13" s="14" t="s">
        <v>230</v>
      </c>
      <c r="F13" s="14" t="s">
        <v>230</v>
      </c>
      <c r="G13" s="14" t="s">
        <v>230</v>
      </c>
      <c r="H13" s="14" t="s">
        <v>230</v>
      </c>
      <c r="I13" s="14" t="s">
        <v>230</v>
      </c>
      <c r="J13" s="14" t="s">
        <v>230</v>
      </c>
      <c r="K13" s="14" t="s">
        <v>230</v>
      </c>
      <c r="L13" s="14" t="s">
        <v>230</v>
      </c>
      <c r="M13" s="14" t="s">
        <v>230</v>
      </c>
      <c r="N13" s="14" t="s">
        <v>230</v>
      </c>
    </row>
    <row r="14" spans="2:14" ht="15.6">
      <c r="B14" s="4" t="s">
        <v>236</v>
      </c>
      <c r="C14" s="9"/>
      <c r="D14" s="9"/>
      <c r="E14" s="14" t="s">
        <v>230</v>
      </c>
      <c r="F14" s="14" t="s">
        <v>230</v>
      </c>
      <c r="G14" s="14" t="s">
        <v>230</v>
      </c>
      <c r="H14" s="14" t="s">
        <v>230</v>
      </c>
      <c r="I14" s="14" t="s">
        <v>230</v>
      </c>
      <c r="J14" s="14" t="s">
        <v>230</v>
      </c>
      <c r="K14" s="14" t="s">
        <v>230</v>
      </c>
      <c r="L14" s="14" t="s">
        <v>230</v>
      </c>
      <c r="M14" s="14" t="s">
        <v>230</v>
      </c>
      <c r="N14" s="9"/>
    </row>
    <row r="15" spans="2:14">
      <c r="B15" s="2" t="s">
        <v>160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2:14" ht="15.6">
      <c r="B16" s="4" t="s">
        <v>237</v>
      </c>
      <c r="C16" s="9"/>
      <c r="D16" s="9"/>
      <c r="E16" s="9"/>
      <c r="F16" s="9"/>
      <c r="G16" s="9"/>
      <c r="H16" s="9"/>
      <c r="I16" s="14" t="s">
        <v>230</v>
      </c>
      <c r="J16" s="9"/>
      <c r="K16" s="9"/>
      <c r="L16" s="9"/>
      <c r="M16" s="14" t="s">
        <v>230</v>
      </c>
      <c r="N16" s="9"/>
    </row>
    <row r="17" spans="2:14" ht="15.6">
      <c r="B17" s="7" t="s">
        <v>238</v>
      </c>
      <c r="C17" s="10"/>
      <c r="D17" s="10"/>
      <c r="E17" s="10"/>
      <c r="F17" s="10"/>
      <c r="G17" s="10"/>
      <c r="H17" s="10"/>
      <c r="I17" s="14" t="s">
        <v>230</v>
      </c>
      <c r="J17" s="10"/>
      <c r="K17" s="10"/>
      <c r="L17" s="10"/>
      <c r="M17" s="14" t="s">
        <v>230</v>
      </c>
      <c r="N17" s="10"/>
    </row>
  </sheetData>
  <mergeCells count="2">
    <mergeCell ref="B3:N3"/>
    <mergeCell ref="B2:N2"/>
  </mergeCells>
  <pageMargins left="0.75" right="0.75" top="1" bottom="1" header="0.5" footer="0.5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10"/>
  <sheetViews>
    <sheetView showGridLines="0" tabSelected="1" workbookViewId="0">
      <selection activeCell="E10" sqref="E10"/>
    </sheetView>
  </sheetViews>
  <sheetFormatPr defaultColWidth="8.625" defaultRowHeight="14.45"/>
  <cols>
    <col min="2" max="2" width="29.875" customWidth="1"/>
    <col min="3" max="3" width="37.875" customWidth="1"/>
    <col min="4" max="4" width="39.875" customWidth="1"/>
    <col min="5" max="5" width="24.875" customWidth="1"/>
  </cols>
  <sheetData>
    <row r="2" spans="2:5">
      <c r="B2" s="29" t="s">
        <v>239</v>
      </c>
      <c r="C2" s="34"/>
      <c r="D2" s="34"/>
      <c r="E2" s="34"/>
    </row>
    <row r="4" spans="2:5">
      <c r="B4" s="1" t="s">
        <v>240</v>
      </c>
      <c r="C4" s="1" t="s">
        <v>10</v>
      </c>
      <c r="D4" s="1" t="s">
        <v>241</v>
      </c>
      <c r="E4" s="1" t="s">
        <v>242</v>
      </c>
    </row>
    <row r="5" spans="2:5">
      <c r="B5" s="4" t="s">
        <v>243</v>
      </c>
      <c r="C5" s="4" t="s">
        <v>18</v>
      </c>
      <c r="D5" s="4" t="s">
        <v>244</v>
      </c>
      <c r="E5" s="4"/>
    </row>
    <row r="6" spans="2:5">
      <c r="B6" s="7" t="s">
        <v>245</v>
      </c>
      <c r="C6" s="7" t="s">
        <v>46</v>
      </c>
      <c r="D6" s="7" t="s">
        <v>246</v>
      </c>
      <c r="E6" s="7"/>
    </row>
    <row r="7" spans="2:5">
      <c r="B7" s="4" t="s">
        <v>247</v>
      </c>
      <c r="C7" s="4" t="s">
        <v>204</v>
      </c>
      <c r="D7" s="4" t="s">
        <v>248</v>
      </c>
      <c r="E7" s="4"/>
    </row>
    <row r="8" spans="2:5">
      <c r="B8" s="7" t="s">
        <v>249</v>
      </c>
      <c r="C8" s="7" t="s">
        <v>208</v>
      </c>
      <c r="D8" s="7" t="s">
        <v>250</v>
      </c>
      <c r="E8" s="7"/>
    </row>
    <row r="9" spans="2:5">
      <c r="B9" s="4" t="s">
        <v>251</v>
      </c>
      <c r="C9" s="4" t="s">
        <v>252</v>
      </c>
      <c r="D9" s="4" t="s">
        <v>253</v>
      </c>
      <c r="E9" s="4"/>
    </row>
    <row r="10" spans="2:5">
      <c r="B10" s="7" t="s">
        <v>254</v>
      </c>
      <c r="C10" s="7" t="s">
        <v>212</v>
      </c>
      <c r="D10" s="7" t="s">
        <v>255</v>
      </c>
      <c r="E10" s="7"/>
    </row>
  </sheetData>
  <mergeCells count="1">
    <mergeCell ref="B2:E2"/>
  </mergeCells>
  <pageMargins left="0.75" right="0.75" top="1" bottom="1" header="0.5" footer="0.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2026-03-03T14:32:33Z</dcterms:created>
  <dcterms:modified xsi:type="dcterms:W3CDTF">2026-03-30T18:14:35Z</dcterms:modified>
  <cp:category/>
  <cp:contentStatus/>
</cp:coreProperties>
</file>